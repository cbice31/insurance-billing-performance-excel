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chrisbice/Desktop/Desktop/Folders/Data Projects/ABC-Insurance/"/>
    </mc:Choice>
  </mc:AlternateContent>
  <xr:revisionPtr revIDLastSave="0" documentId="8_{CF3EE659-EBE3-6E41-9EC0-3F78F923CC32}" xr6:coauthVersionLast="47" xr6:coauthVersionMax="47" xr10:uidLastSave="{00000000-0000-0000-0000-000000000000}"/>
  <bookViews>
    <workbookView xWindow="-33960" yWindow="-3180" windowWidth="28040" windowHeight="17080" activeTab="1" xr2:uid="{00000000-000D-0000-FFFF-FFFF00000000}"/>
  </bookViews>
  <sheets>
    <sheet name="Data" sheetId="1" r:id="rId1"/>
    <sheet name="Billing performance analysis" sheetId="2" r:id="rId2"/>
  </sheets>
  <definedNames>
    <definedName name="_xlnm._FilterDatabase" localSheetId="0" hidden="1">Data!$A$1:$O$501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 a="1"/>
  <c r="C12" i="2" s="1"/>
  <c r="C13" i="2" a="1"/>
  <c r="C13" i="2" s="1"/>
  <c r="B13" i="2"/>
  <c r="E13" i="2"/>
  <c r="E12" i="2"/>
  <c r="D13" i="2"/>
  <c r="D12" i="2"/>
  <c r="B12" i="2"/>
  <c r="B8" i="2"/>
  <c r="B7" i="2"/>
  <c r="B6" i="2"/>
  <c r="B5" i="2"/>
  <c r="B4" i="2"/>
  <c r="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<sst xmlns="http://schemas.openxmlformats.org/spreadsheetml/2006/main" count="5057" uniqueCount="547">
  <si>
    <t>Customer_ID</t>
  </si>
  <si>
    <t>Age</t>
  </si>
  <si>
    <t>Gender</t>
  </si>
  <si>
    <t>Policy_Type</t>
  </si>
  <si>
    <t>Premium</t>
  </si>
  <si>
    <t>Claim_Count</t>
  </si>
  <si>
    <t>Region</t>
  </si>
  <si>
    <t>Date_Joined</t>
  </si>
  <si>
    <t>Customer_Satisfaction</t>
  </si>
  <si>
    <t>CUST0001</t>
  </si>
  <si>
    <t>Female</t>
  </si>
  <si>
    <t>Life</t>
  </si>
  <si>
    <t>North</t>
  </si>
  <si>
    <t>CUST0002</t>
  </si>
  <si>
    <t>M</t>
  </si>
  <si>
    <t>South</t>
  </si>
  <si>
    <t>CUST0003</t>
  </si>
  <si>
    <t>Auto</t>
  </si>
  <si>
    <t>CUST0004</t>
  </si>
  <si>
    <t>F</t>
  </si>
  <si>
    <t>West</t>
  </si>
  <si>
    <t>CUST0005</t>
  </si>
  <si>
    <t>CUST0006</t>
  </si>
  <si>
    <t>Other</t>
  </si>
  <si>
    <t>CUST0007</t>
  </si>
  <si>
    <t>CUST0008</t>
  </si>
  <si>
    <t>Male</t>
  </si>
  <si>
    <t>Home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</si>
  <si>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</si>
  <si>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</si>
  <si>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</si>
  <si>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</si>
  <si>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</si>
  <si>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</si>
  <si>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</si>
  <si>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</si>
  <si>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East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</si>
  <si>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</si>
  <si>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</si>
  <si>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</si>
  <si>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</si>
  <si>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</si>
  <si>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</si>
  <si>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</si>
  <si>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</si>
  <si>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</si>
  <si>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</si>
  <si>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</si>
  <si>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</si>
  <si>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</si>
  <si>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</si>
  <si>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</si>
  <si>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</si>
  <si>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</si>
  <si>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</si>
  <si>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</si>
  <si>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</si>
  <si>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</si>
  <si>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</si>
  <si>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</si>
  <si>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</si>
  <si>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</si>
  <si>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</si>
  <si>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</si>
  <si>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</si>
  <si>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</si>
  <si>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</si>
  <si>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</si>
  <si>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</si>
  <si>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</si>
  <si>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</si>
  <si>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</si>
  <si>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</si>
  <si>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</si>
  <si>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</si>
  <si>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</si>
  <si>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</si>
  <si>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</si>
  <si>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</si>
  <si>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</si>
  <si>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</si>
  <si>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</si>
  <si>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</si>
  <si>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</si>
  <si>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</si>
  <si>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</si>
  <si>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</si>
  <si>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</si>
  <si>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</si>
  <si>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</si>
  <si>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</si>
  <si>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</si>
  <si>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</si>
  <si>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</si>
  <si>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</si>
  <si>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</si>
  <si>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</si>
  <si>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</si>
  <si>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</si>
  <si>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</si>
  <si>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</si>
  <si>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</si>
  <si>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</si>
  <si>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</si>
  <si>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</si>
  <si>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</si>
  <si>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</si>
  <si>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</si>
  <si>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</si>
  <si>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</si>
  <si>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</si>
  <si>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</si>
  <si>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</si>
  <si>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</si>
  <si>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</si>
  <si>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</si>
  <si>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</si>
  <si>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</si>
  <si>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</si>
  <si>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</si>
  <si>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</si>
  <si>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</si>
  <si>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</si>
  <si>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</si>
  <si>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</si>
  <si>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</si>
  <si>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</si>
  <si>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</si>
  <si>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</si>
  <si>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</si>
  <si>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</si>
  <si>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</si>
  <si>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</si>
  <si>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</si>
  <si>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</si>
  <si>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</si>
  <si>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</si>
  <si>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</si>
  <si>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</si>
  <si>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</si>
  <si>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</si>
  <si>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</si>
  <si>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</si>
  <si>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</si>
  <si>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</si>
  <si>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</si>
  <si>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</si>
  <si>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</si>
  <si>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</si>
  <si>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</si>
  <si>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</si>
  <si>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</si>
  <si>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</si>
  <si>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</si>
  <si>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</si>
  <si>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</si>
  <si>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</si>
  <si>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</si>
  <si>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</si>
  <si>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</si>
  <si>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</si>
  <si>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</si>
  <si>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</si>
  <si>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</si>
  <si>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</si>
  <si>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</si>
  <si>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</si>
  <si>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</si>
  <si>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</si>
  <si>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</si>
  <si>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</si>
  <si>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</si>
  <si>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</si>
  <si>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</si>
  <si>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</si>
  <si>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</si>
  <si>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</si>
  <si>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</si>
  <si>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</si>
  <si>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</si>
  <si>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</si>
  <si>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</si>
  <si>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</si>
  <si>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</si>
  <si>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</si>
  <si>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</si>
  <si>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</si>
  <si>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</si>
  <si>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</si>
  <si>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</si>
  <si>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</si>
  <si>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</si>
  <si>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</si>
  <si>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</si>
  <si>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</si>
  <si>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</si>
  <si>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</si>
  <si>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</si>
  <si>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</si>
  <si>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</si>
  <si>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</si>
  <si>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</si>
  <si>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</si>
  <si>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</si>
  <si>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</si>
  <si>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</si>
  <si>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</si>
  <si>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</si>
  <si>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</si>
  <si>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</si>
  <si>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</si>
  <si>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</si>
  <si>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</si>
  <si>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</si>
  <si>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</si>
  <si>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</si>
  <si>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</si>
  <si>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</si>
  <si>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</si>
  <si>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</si>
  <si>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</si>
  <si>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</si>
  <si>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</si>
  <si>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</si>
  <si>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</si>
  <si>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</si>
  <si>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</si>
  <si>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</si>
  <si>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</si>
  <si>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</si>
  <si>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</si>
  <si>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</si>
  <si>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</si>
  <si>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</si>
  <si>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</si>
  <si>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</si>
  <si>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</si>
  <si>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</si>
  <si>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</si>
  <si>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</si>
  <si>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</si>
  <si>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</si>
  <si>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</si>
  <si>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</si>
  <si>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</si>
  <si>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</si>
  <si>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</si>
  <si>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</si>
  <si>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</si>
  <si>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</si>
  <si>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</si>
  <si>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</si>
  <si>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</si>
  <si>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</si>
  <si>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</si>
  <si>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</si>
  <si>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</si>
  <si>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</si>
  <si>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</si>
  <si>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</si>
  <si>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</si>
  <si>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</si>
  <si>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</si>
  <si>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</si>
  <si>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</si>
  <si>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</si>
  <si>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</si>
  <si>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</si>
  <si>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</si>
  <si>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</si>
  <si>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</si>
  <si>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</si>
  <si>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</si>
  <si>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</si>
  <si>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</si>
  <si>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</si>
  <si>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</si>
  <si>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</si>
  <si>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</si>
  <si>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</si>
  <si>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</si>
  <si>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</si>
  <si>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</si>
  <si>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</si>
  <si>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</si>
  <si>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</si>
  <si>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</si>
  <si>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</si>
  <si>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</si>
  <si>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</si>
  <si>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</si>
  <si>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</si>
  <si>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</si>
  <si>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</si>
  <si>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</si>
  <si>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</si>
  <si>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</si>
  <si>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</si>
  <si>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</si>
  <si>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</si>
  <si>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</si>
  <si>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</si>
  <si>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</si>
  <si>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</si>
  <si>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</si>
  <si>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</si>
  <si>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</si>
  <si>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</si>
  <si>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</si>
  <si>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</si>
  <si>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</si>
  <si>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</si>
  <si>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</si>
  <si>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</si>
  <si>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</si>
  <si>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</si>
  <si>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</si>
  <si>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</si>
  <si>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</si>
  <si>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</si>
  <si>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</si>
  <si>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</si>
  <si>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</si>
  <si>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</si>
  <si>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</si>
  <si>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</si>
  <si>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</si>
  <si>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</si>
  <si>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</si>
  <si>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</si>
  <si>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</si>
  <si>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</si>
  <si>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</si>
  <si>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</si>
  <si>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</si>
  <si>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</si>
  <si>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</si>
  <si>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</si>
  <si>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</si>
  <si>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</si>
  <si>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</si>
  <si>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</si>
  <si>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</si>
  <si>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</si>
  <si>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</si>
  <si>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</si>
  <si>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</si>
  <si>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</si>
  <si>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</si>
  <si>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</si>
  <si>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</si>
  <si>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</si>
  <si>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</si>
  <si>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</si>
  <si>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</si>
  <si>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</si>
  <si>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</si>
  <si>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</si>
  <si>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</si>
  <si>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</si>
  <si>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</si>
  <si>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</si>
  <si>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</si>
  <si>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</si>
  <si>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</si>
  <si>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</si>
  <si>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</si>
  <si>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</si>
  <si>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</si>
  <si>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</si>
  <si>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</si>
  <si>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</si>
  <si>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</si>
  <si>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</si>
  <si>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</si>
  <si>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</si>
  <si>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</si>
  <si>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</si>
  <si>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</si>
  <si>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</si>
  <si>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</si>
  <si>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</si>
  <si>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</si>
  <si>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</si>
  <si>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</si>
  <si>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</si>
  <si>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</si>
  <si>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</si>
  <si>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</si>
  <si>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</si>
  <si>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</si>
  <si>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</si>
  <si>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</si>
  <si>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</si>
  <si>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</si>
  <si>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</si>
  <si>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</si>
  <si>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</si>
  <si>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</si>
  <si>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</si>
  <si>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</si>
  <si>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</si>
  <si>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</si>
  <si>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</si>
  <si>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</si>
  <si>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</si>
  <si>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</si>
  <si>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</si>
  <si>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</si>
  <si>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</si>
  <si>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</si>
  <si>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</si>
  <si>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</si>
  <si>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</si>
  <si>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</si>
  <si>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</si>
  <si>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</si>
  <si>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</si>
  <si>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</si>
  <si>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</si>
  <si>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</si>
  <si>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</si>
  <si>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</si>
  <si>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</si>
  <si>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</si>
  <si>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</si>
  <si>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</si>
  <si>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</si>
  <si>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</si>
  <si>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</si>
  <si>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</si>
  <si>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</si>
  <si>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</si>
  <si>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</si>
  <si>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</si>
  <si>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</si>
  <si>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</si>
  <si>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</si>
  <si>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</si>
  <si>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</si>
  <si>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</si>
  <si>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</si>
  <si>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</si>
  <si>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</si>
  <si>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</si>
  <si>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</si>
  <si>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</si>
  <si>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</si>
  <si>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</si>
  <si>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</si>
  <si>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</si>
  <si>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</si>
  <si>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</si>
  <si>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</si>
  <si>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</si>
  <si>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</si>
  <si>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</si>
  <si>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</si>
  <si>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</si>
  <si>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</si>
  <si>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</si>
  <si>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</si>
  <si>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</si>
  <si>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</si>
  <si>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</si>
  <si>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</si>
  <si>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</si>
  <si>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</si>
  <si>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</si>
  <si>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</si>
  <si>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</si>
  <si>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</si>
  <si>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</si>
  <si>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</si>
  <si>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</si>
  <si>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</si>
  <si>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</si>
  <si>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</si>
  <si>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</si>
  <si>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</si>
  <si>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</si>
  <si>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</si>
  <si>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</si>
  <si>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</si>
  <si>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</si>
  <si>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</si>
  <si>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</si>
  <si>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</si>
  <si>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</si>
  <si>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</si>
  <si>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</si>
  <si>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</si>
  <si>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</si>
  <si>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</si>
  <si>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</si>
  <si>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</si>
  <si>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</si>
  <si>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</si>
  <si>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</si>
  <si>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</si>
  <si>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</si>
  <si>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</si>
  <si>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</si>
  <si>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</si>
  <si>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</si>
  <si>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</si>
  <si>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</si>
  <si>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</si>
  <si>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</si>
  <si>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</si>
  <si>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</si>
  <si>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</si>
  <si>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</si>
  <si>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</si>
  <si>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</si>
  <si>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</si>
  <si>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</si>
  <si>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</si>
  <si>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</si>
  <si>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</si>
  <si>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</si>
  <si>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AutoPay</t>
  </si>
  <si>
    <t>Paid_On_Time</t>
  </si>
  <si>
    <t>Delinquent</t>
  </si>
  <si>
    <t>Canceled_For_NonPay</t>
  </si>
  <si>
    <t>Reinstated</t>
  </si>
  <si>
    <t>Renewed</t>
  </si>
  <si>
    <t>Yes</t>
  </si>
  <si>
    <t>No</t>
  </si>
  <si>
    <t>Payment Success Rate</t>
  </si>
  <si>
    <t>Delinquency Rate</t>
  </si>
  <si>
    <t>Lapse Rate (Non-Pay Cancel)</t>
  </si>
  <si>
    <t>Reinstatement Rate</t>
  </si>
  <si>
    <t>AutoPay Adoption Rate</t>
  </si>
  <si>
    <t>Retention Rate</t>
  </si>
  <si>
    <t>AutoPay Impact</t>
  </si>
  <si>
    <t>Group</t>
  </si>
  <si>
    <t>Avg Premium</t>
  </si>
  <si>
    <t>Lapse Rate</t>
  </si>
  <si>
    <t>No AutoPay</t>
  </si>
  <si>
    <t>Billing Performance Summary</t>
  </si>
  <si>
    <t>Key Insights</t>
  </si>
  <si>
    <t>Product Implication</t>
  </si>
  <si>
    <t>Higher AutoPay participation can enhance premium collection consistency while reducing billing-driven cancellations, supporting sustainable long-term performance.</t>
  </si>
  <si>
    <t>Unknown</t>
  </si>
  <si>
    <t>Median Premium</t>
  </si>
  <si>
    <t>AutoPay Customers exibit meaningfully lower non-payment cancelations (2.3% vs 4.5% and higher policy renewal rates (85.9% vs 63.6%).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</si>
</sst>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 (Body)"/>
    </font>
    <font>
      <b/>
      <sz val="12"/>
      <color rgb="FF0061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18" fillId="0" borderId="0" xfId="0" applyFont="1"/>
    <xf numFmtId="0" fontId="18" fillId="0" borderId="10" xfId="0" applyFont="1" applyBorder="1"/>
    <xf numFmtId="0" fontId="16" fillId="0" borderId="10" xfId="0" applyFont="1" applyBorder="1"/>
    <xf numFmtId="44" fontId="6" fillId="2" borderId="10" xfId="8" applyNumberFormat="1" applyBorder="1" applyAlignment="1">
      <alignment horizontal="right"/>
    </xf>
    <xf numFmtId="164" fontId="6" fillId="2" borderId="10" xfId="8" applyNumberFormat="1" applyBorder="1" applyAlignment="1">
      <alignment horizontal="right"/>
    </xf>
    <xf numFmtId="44" fontId="0" fillId="0" borderId="10" xfId="1" applyFont="1" applyBorder="1" applyAlignment="1">
      <alignment horizontal="right"/>
    </xf>
    <xf numFmtId="164" fontId="0" fillId="0" borderId="10" xfId="2" applyNumberFormat="1" applyFont="1" applyBorder="1" applyAlignment="1">
      <alignment horizontal="right"/>
    </xf>
    <xf numFmtId="0" fontId="18" fillId="0" borderId="11" xfId="0" applyFont="1" applyBorder="1"/>
    <xf numFmtId="164" fontId="16" fillId="0" borderId="11" xfId="2" applyNumberFormat="1" applyFont="1" applyBorder="1" applyAlignment="1">
      <alignment horizontal="right"/>
    </xf>
    <xf numFmtId="0" fontId="21" fillId="2" borderId="10" xfId="8" applyFont="1" applyBorder="1"/>
    <xf numFmtId="0" fontId="19" fillId="33" borderId="11" xfId="0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0" fillId="0" borderId="0" xfId="0" applyAlignment="1">
      <alignment horizontal="left"/>
    </xf>
    <xf numFmtId="164" fontId="16" fillId="0" borderId="0" xfId="2" applyNumberFormat="1" applyFont="1" applyBorder="1" applyAlignment="1">
      <alignment horizontal="right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511"/>
  <sheetViews>
    <sheetView workbookViewId="0">
      <selection activeCell="I29" sqref="I29"/>
    </sheetView>
  </sheetViews>
  <sheetFormatPr baseColWidth="10" defaultColWidth="11.83203125" defaultRowHeight="16" x14ac:dyDescent="0.2"/>
  <cols>
    <col min="1" max="1" width="14.1640625" bestFit="1" customWidth="1"/>
    <col min="2" max="2" width="6.83203125" bestFit="1" customWidth="1"/>
    <col min="3" max="3" width="9.6640625" bestFit="1" customWidth="1"/>
    <col min="4" max="4" width="13.1640625" bestFit="1" customWidth="1"/>
    <col min="5" max="5" width="11.1640625" bestFit="1" customWidth="1"/>
    <col min="6" max="6" width="14" bestFit="1" customWidth="1"/>
    <col min="7" max="7" width="9.33203125" bestFit="1" customWidth="1"/>
    <col min="8" max="8" width="13.6640625" bestFit="1" customWidth="1"/>
    <col min="9" max="9" width="22.33203125" style="14" bestFit="1" customWidth="1"/>
    <col min="10" max="10" width="10.33203125" bestFit="1" customWidth="1"/>
    <col min="11" max="11" width="15.6640625" bestFit="1" customWidth="1"/>
    <col min="12" max="12" width="12.5" bestFit="1" customWidth="1"/>
    <col min="13" max="13" width="22" bestFit="1" customWidth="1"/>
    <col min="14" max="14" width="12.5" bestFit="1" customWidth="1"/>
    <col min="15" max="15" width="11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4" t="s">
        <v>8</v>
      </c>
      <c r="J1" t="s">
        <v>521</v>
      </c>
      <c r="K1" t="s">
        <v>522</v>
      </c>
      <c r="L1" t="s">
        <v>523</v>
      </c>
      <c r="M1" t="s">
        <v>524</v>
      </c>
      <c r="N1" t="s">
        <v>525</v>
      </c>
      <c r="O1" t="s">
        <v>526</v>
      </c>
    </row>
    <row r="2" spans="1:15" x14ac:dyDescent="0.2">
      <c r="A2" t="s">
        <v>9</v>
      </c>
      <c r="B2">
        <v>26</v>
      </c>
      <c r="C2" t="s">
        <v>10</v>
      </c>
      <c r="D2" t="s">
        <v>11</v>
      </c>
      <c r="E2">
        <v>57.78</v>
      </c>
      <c r="F2">
        <v>3</v>
      </c>
      <c r="G2" t="s">
        <v>12</v>
      </c>
      <c r="H2" s="1">
        <v>43728</v>
      </c>
      <c r="I2" s="14">
        <v>1</v>
      </c>
      <c r="J2" t="s">
        <v>528</v>
      </c>
      <c r="K2" t="s">
        <v>528</v>
      </c>
      <c r="L2" t="s">
        <v>527</v>
      </c>
      <c r="M2" t="s">
        <v>528</v>
      </c>
      <c r="N2" t="s">
        <v>528</v>
      </c>
      <c r="O2" t="s">
        <v>528</v>
      </c>
    </row>
    <row r="3" spans="1:15" x14ac:dyDescent="0.2">
      <c r="A3" t="s">
        <v>13</v>
      </c>
      <c r="B3">
        <v>22</v>
      </c>
      <c r="C3" t="s">
        <v>26</v>
      </c>
      <c r="D3" t="s">
        <v>11</v>
      </c>
      <c r="E3">
        <v>243.23</v>
      </c>
      <c r="F3">
        <v>3</v>
      </c>
      <c r="G3" t="s">
        <v>15</v>
      </c>
      <c r="H3" s="1">
        <v>44521</v>
      </c>
      <c r="I3" s="14">
        <v>10</v>
      </c>
      <c r="J3" t="s">
        <v>527</v>
      </c>
      <c r="K3" t="s">
        <v>527</v>
      </c>
      <c r="L3" t="s">
        <v>528</v>
      </c>
      <c r="M3" t="s">
        <v>528</v>
      </c>
      <c r="N3" t="s">
        <v>528</v>
      </c>
      <c r="O3" t="s">
        <v>527</v>
      </c>
    </row>
    <row r="4" spans="1:15" x14ac:dyDescent="0.2">
      <c r="A4" t="s">
        <v>16</v>
      </c>
      <c r="B4">
        <v>28</v>
      </c>
      <c r="C4" t="s">
        <v>544</v>
      </c>
      <c r="D4" t="s">
        <v>17</v>
      </c>
      <c r="E4">
        <v>341.58</v>
      </c>
      <c r="F4">
        <v>2</v>
      </c>
      <c r="G4" t="s">
        <v>12</v>
      </c>
      <c r="H4" s="1">
        <v>44084</v>
      </c>
      <c r="I4" s="14">
        <v>3</v>
      </c>
      <c r="J4" t="s">
        <v>527</v>
      </c>
      <c r="K4" t="s">
        <v>527</v>
      </c>
      <c r="L4" t="s">
        <v>528</v>
      </c>
      <c r="M4" t="s">
        <v>528</v>
      </c>
      <c r="N4" t="s">
        <v>528</v>
      </c>
      <c r="O4" t="s">
        <v>527</v>
      </c>
    </row>
    <row r="5" spans="1:15" x14ac:dyDescent="0.2">
      <c r="A5" t="s">
        <v>18</v>
      </c>
      <c r="B5">
        <v>61</v>
      </c>
      <c r="C5" t="s">
        <v>10</v>
      </c>
      <c r="D5" t="s">
        <v>11</v>
      </c>
      <c r="E5">
        <v>235.81</v>
      </c>
      <c r="F5">
        <v>1</v>
      </c>
      <c r="G5" t="s">
        <v>20</v>
      </c>
      <c r="H5" s="1">
        <v>44381</v>
      </c>
      <c r="I5" s="14">
        <v>10</v>
      </c>
      <c r="J5" t="s">
        <v>527</v>
      </c>
      <c r="K5" t="s">
        <v>527</v>
      </c>
      <c r="L5" t="s">
        <v>528</v>
      </c>
      <c r="M5" t="s">
        <v>528</v>
      </c>
      <c r="N5" t="s">
        <v>528</v>
      </c>
      <c r="O5" t="s">
        <v>527</v>
      </c>
    </row>
    <row r="6" spans="1:15" x14ac:dyDescent="0.2">
      <c r="A6" t="s">
        <v>21</v>
      </c>
      <c r="B6">
        <v>63</v>
      </c>
      <c r="C6" t="s">
        <v>10</v>
      </c>
      <c r="D6" t="s">
        <v>17</v>
      </c>
      <c r="E6">
        <v>493.64</v>
      </c>
      <c r="F6">
        <v>4</v>
      </c>
      <c r="G6" t="s">
        <v>15</v>
      </c>
      <c r="H6" s="1">
        <v>43485</v>
      </c>
      <c r="I6" s="14">
        <v>3</v>
      </c>
      <c r="J6" t="s">
        <v>527</v>
      </c>
      <c r="K6" t="s">
        <v>527</v>
      </c>
      <c r="L6" t="s">
        <v>528</v>
      </c>
      <c r="M6" t="s">
        <v>528</v>
      </c>
      <c r="N6" t="s">
        <v>528</v>
      </c>
      <c r="O6" t="s">
        <v>527</v>
      </c>
    </row>
    <row r="7" spans="1:15" x14ac:dyDescent="0.2">
      <c r="A7" t="s">
        <v>22</v>
      </c>
      <c r="B7">
        <v>18</v>
      </c>
      <c r="C7" t="s">
        <v>23</v>
      </c>
      <c r="D7" t="s">
        <v>11</v>
      </c>
      <c r="E7">
        <v>475.49</v>
      </c>
      <c r="F7">
        <v>3</v>
      </c>
      <c r="G7" t="s">
        <v>15</v>
      </c>
      <c r="H7" s="1">
        <v>44623</v>
      </c>
      <c r="I7" s="14">
        <v>6</v>
      </c>
      <c r="J7" t="s">
        <v>527</v>
      </c>
      <c r="K7" t="s">
        <v>527</v>
      </c>
      <c r="L7" t="s">
        <v>528</v>
      </c>
      <c r="M7" t="s">
        <v>528</v>
      </c>
      <c r="N7" t="s">
        <v>528</v>
      </c>
      <c r="O7" t="s">
        <v>527</v>
      </c>
    </row>
    <row r="8" spans="1:15" x14ac:dyDescent="0.2">
      <c r="A8" t="s">
        <v>24</v>
      </c>
      <c r="B8">
        <v>32</v>
      </c>
      <c r="C8" t="s">
        <v>10</v>
      </c>
      <c r="D8" t="s">
        <v>11</v>
      </c>
      <c r="E8">
        <v>57.3</v>
      </c>
      <c r="F8">
        <v>3</v>
      </c>
      <c r="G8" t="s">
        <v>12</v>
      </c>
      <c r="H8" s="1">
        <v>45158</v>
      </c>
      <c r="I8" s="14">
        <v>9</v>
      </c>
      <c r="J8" t="s">
        <v>528</v>
      </c>
      <c r="K8" t="s">
        <v>528</v>
      </c>
      <c r="L8" t="s">
        <v>527</v>
      </c>
      <c r="M8" t="s">
        <v>528</v>
      </c>
      <c r="N8" t="s">
        <v>528</v>
      </c>
      <c r="O8" t="s">
        <v>527</v>
      </c>
    </row>
    <row r="9" spans="1:15" x14ac:dyDescent="0.2">
      <c r="A9" t="s">
        <v>25</v>
      </c>
      <c r="B9">
        <v>44</v>
      </c>
      <c r="C9" t="s">
        <v>26</v>
      </c>
      <c r="D9" t="s">
        <v>27</v>
      </c>
      <c r="E9">
        <v>432.37</v>
      </c>
      <c r="F9">
        <v>2</v>
      </c>
      <c r="G9" t="s">
        <v>20</v>
      </c>
      <c r="H9" s="1">
        <v>45149</v>
      </c>
      <c r="I9" s="14">
        <v>7</v>
      </c>
      <c r="J9" t="s">
        <v>527</v>
      </c>
      <c r="K9" t="s">
        <v>527</v>
      </c>
      <c r="L9" t="s">
        <v>528</v>
      </c>
      <c r="M9" t="s">
        <v>528</v>
      </c>
      <c r="N9" t="s">
        <v>528</v>
      </c>
      <c r="O9" t="s">
        <v>527</v>
      </c>
    </row>
    <row r="10" spans="1:15" x14ac:dyDescent="0.2">
      <c r="A10" t="s">
        <v>28</v>
      </c>
      <c r="B10">
        <v>46</v>
      </c>
      <c r="C10" t="s">
        <v>10</v>
      </c>
      <c r="D10" t="s">
        <v>27</v>
      </c>
      <c r="E10">
        <v>215.23</v>
      </c>
      <c r="F10">
        <v>3</v>
      </c>
      <c r="G10" t="s">
        <v>15</v>
      </c>
      <c r="H10" s="1">
        <v>44701</v>
      </c>
      <c r="I10" s="14">
        <v>3</v>
      </c>
      <c r="J10" t="s">
        <v>527</v>
      </c>
      <c r="K10" t="s">
        <v>527</v>
      </c>
      <c r="L10" t="s">
        <v>528</v>
      </c>
      <c r="M10" t="s">
        <v>528</v>
      </c>
      <c r="N10" t="s">
        <v>528</v>
      </c>
      <c r="O10" t="s">
        <v>528</v>
      </c>
    </row>
    <row r="11" spans="1:15" x14ac:dyDescent="0.2">
      <c r="A11" t="s">
        <v>29</v>
      </c>
      <c r="B11">
        <v>61</v>
      </c>
      <c r="C11" t="s">
        <v>23</v>
      </c>
      <c r="D11" t="s">
        <v>11</v>
      </c>
      <c r="E11">
        <v>55.34</v>
      </c>
      <c r="F11">
        <v>2</v>
      </c>
      <c r="G11" t="s">
        <v>12</v>
      </c>
      <c r="H11" s="1">
        <v>44187</v>
      </c>
      <c r="I11" s="14">
        <v>7</v>
      </c>
      <c r="J11" t="s">
        <v>527</v>
      </c>
      <c r="K11" t="s">
        <v>527</v>
      </c>
      <c r="L11" t="s">
        <v>528</v>
      </c>
      <c r="M11" t="s">
        <v>528</v>
      </c>
      <c r="N11" t="s">
        <v>528</v>
      </c>
      <c r="O11" t="s">
        <v>527</v>
      </c>
    </row>
    <row r="12" spans="1:15" x14ac:dyDescent="0.2">
      <c r="A12" t="s">
        <v>30</v>
      </c>
      <c r="B12">
        <v>64</v>
      </c>
      <c r="C12" t="s">
        <v>26</v>
      </c>
      <c r="D12" t="s">
        <v>27</v>
      </c>
      <c r="E12">
        <v>371.06</v>
      </c>
      <c r="F12">
        <v>4</v>
      </c>
      <c r="G12" t="s">
        <v>20</v>
      </c>
      <c r="H12" s="1">
        <v>43507</v>
      </c>
      <c r="I12" s="14">
        <v>7</v>
      </c>
      <c r="J12" t="s">
        <v>527</v>
      </c>
      <c r="K12" t="s">
        <v>527</v>
      </c>
      <c r="L12" t="s">
        <v>528</v>
      </c>
      <c r="M12" t="s">
        <v>528</v>
      </c>
      <c r="N12" t="s">
        <v>528</v>
      </c>
      <c r="O12" t="s">
        <v>527</v>
      </c>
    </row>
    <row r="13" spans="1:15" x14ac:dyDescent="0.2">
      <c r="A13" t="s">
        <v>31</v>
      </c>
      <c r="B13">
        <v>36</v>
      </c>
      <c r="C13" t="s">
        <v>10</v>
      </c>
      <c r="D13" t="s">
        <v>11</v>
      </c>
      <c r="E13">
        <v>344.87</v>
      </c>
      <c r="F13">
        <v>0</v>
      </c>
      <c r="G13" t="s">
        <v>15</v>
      </c>
      <c r="H13" s="1">
        <v>44023</v>
      </c>
      <c r="I13" s="14">
        <v>10</v>
      </c>
      <c r="J13" t="s">
        <v>527</v>
      </c>
      <c r="K13" t="s">
        <v>527</v>
      </c>
      <c r="L13" t="s">
        <v>528</v>
      </c>
      <c r="M13" t="s">
        <v>528</v>
      </c>
      <c r="N13" t="s">
        <v>528</v>
      </c>
      <c r="O13" t="s">
        <v>527</v>
      </c>
    </row>
    <row r="14" spans="1:15" x14ac:dyDescent="0.2">
      <c r="A14" t="s">
        <v>32</v>
      </c>
      <c r="B14">
        <v>51</v>
      </c>
      <c r="C14" t="s">
        <v>26</v>
      </c>
      <c r="D14" t="s">
        <v>17</v>
      </c>
      <c r="E14">
        <v>100.84</v>
      </c>
      <c r="F14">
        <v>0</v>
      </c>
      <c r="G14" t="s">
        <v>15</v>
      </c>
      <c r="H14" s="1">
        <v>43033</v>
      </c>
      <c r="I14" s="14">
        <v>5</v>
      </c>
      <c r="J14" t="s">
        <v>527</v>
      </c>
      <c r="K14" t="s">
        <v>527</v>
      </c>
      <c r="L14" t="s">
        <v>528</v>
      </c>
      <c r="M14" t="s">
        <v>528</v>
      </c>
      <c r="N14" t="s">
        <v>528</v>
      </c>
      <c r="O14" t="s">
        <v>527</v>
      </c>
    </row>
    <row r="15" spans="1:15" x14ac:dyDescent="0.2">
      <c r="A15" t="s">
        <v>33</v>
      </c>
      <c r="B15">
        <v>50</v>
      </c>
      <c r="C15" t="s">
        <v>23</v>
      </c>
      <c r="D15" t="s">
        <v>11</v>
      </c>
      <c r="E15">
        <v>107.58</v>
      </c>
      <c r="F15">
        <v>1</v>
      </c>
      <c r="G15" t="s">
        <v>15</v>
      </c>
      <c r="H15" s="1">
        <v>42739</v>
      </c>
      <c r="I15" s="14">
        <v>5</v>
      </c>
      <c r="J15" t="s">
        <v>528</v>
      </c>
      <c r="K15" t="s">
        <v>527</v>
      </c>
      <c r="L15" t="s">
        <v>528</v>
      </c>
      <c r="M15" t="s">
        <v>528</v>
      </c>
      <c r="N15" t="s">
        <v>528</v>
      </c>
      <c r="O15" t="s">
        <v>527</v>
      </c>
    </row>
    <row r="16" spans="1:15" x14ac:dyDescent="0.2">
      <c r="A16" t="s">
        <v>34</v>
      </c>
      <c r="B16">
        <v>59</v>
      </c>
      <c r="C16" t="s">
        <v>10</v>
      </c>
      <c r="D16" t="s">
        <v>17</v>
      </c>
      <c r="E16">
        <v>97.21</v>
      </c>
      <c r="F16">
        <v>0</v>
      </c>
      <c r="G16" t="s">
        <v>15</v>
      </c>
      <c r="H16" s="1">
        <v>43894</v>
      </c>
      <c r="I16" s="14" t="s">
        <v>544</v>
      </c>
      <c r="J16" t="s">
        <v>528</v>
      </c>
      <c r="K16" t="s">
        <v>527</v>
      </c>
      <c r="L16" t="s">
        <v>528</v>
      </c>
      <c r="M16" t="s">
        <v>528</v>
      </c>
      <c r="N16" t="s">
        <v>528</v>
      </c>
      <c r="O16" t="s">
        <v>528</v>
      </c>
    </row>
    <row r="17" spans="1:15" x14ac:dyDescent="0.2">
      <c r="A17" t="s">
        <v>35</v>
      </c>
      <c r="B17">
        <v>75</v>
      </c>
      <c r="C17" t="s">
        <v>26</v>
      </c>
      <c r="D17" t="s">
        <v>27</v>
      </c>
      <c r="E17">
        <v>268.36</v>
      </c>
      <c r="F17">
        <v>0</v>
      </c>
      <c r="G17" t="s">
        <v>36</v>
      </c>
      <c r="H17" s="1">
        <v>43390</v>
      </c>
      <c r="I17" s="14">
        <v>10</v>
      </c>
      <c r="J17" t="s">
        <v>527</v>
      </c>
      <c r="K17" t="s">
        <v>527</v>
      </c>
      <c r="L17" t="s">
        <v>528</v>
      </c>
      <c r="M17" t="s">
        <v>528</v>
      </c>
      <c r="N17" t="s">
        <v>528</v>
      </c>
      <c r="O17" t="s">
        <v>527</v>
      </c>
    </row>
    <row r="18" spans="1:15" x14ac:dyDescent="0.2">
      <c r="A18" t="s">
        <v>37</v>
      </c>
      <c r="B18">
        <v>38</v>
      </c>
      <c r="C18" t="s">
        <v>10</v>
      </c>
      <c r="D18" t="s">
        <v>27</v>
      </c>
      <c r="E18">
        <v>412.48</v>
      </c>
      <c r="F18">
        <v>4</v>
      </c>
      <c r="G18" t="s">
        <v>20</v>
      </c>
      <c r="H18" s="1">
        <v>42570</v>
      </c>
      <c r="I18" s="14">
        <v>6</v>
      </c>
      <c r="J18" t="s">
        <v>527</v>
      </c>
      <c r="K18" t="s">
        <v>528</v>
      </c>
      <c r="L18" t="s">
        <v>527</v>
      </c>
      <c r="M18" t="s">
        <v>528</v>
      </c>
      <c r="N18" t="s">
        <v>528</v>
      </c>
      <c r="O18" t="s">
        <v>527</v>
      </c>
    </row>
    <row r="19" spans="1:15" x14ac:dyDescent="0.2">
      <c r="A19" t="s">
        <v>38</v>
      </c>
      <c r="B19">
        <v>72</v>
      </c>
      <c r="C19" t="s">
        <v>26</v>
      </c>
      <c r="D19" t="s">
        <v>17</v>
      </c>
      <c r="E19">
        <v>255.74</v>
      </c>
      <c r="F19">
        <v>4</v>
      </c>
      <c r="G19" t="s">
        <v>12</v>
      </c>
      <c r="H19" s="1">
        <v>42660</v>
      </c>
      <c r="I19" s="14">
        <v>8</v>
      </c>
      <c r="J19" t="s">
        <v>527</v>
      </c>
      <c r="K19" t="s">
        <v>527</v>
      </c>
      <c r="L19" t="s">
        <v>528</v>
      </c>
      <c r="M19" t="s">
        <v>528</v>
      </c>
      <c r="N19" t="s">
        <v>528</v>
      </c>
      <c r="O19" t="s">
        <v>527</v>
      </c>
    </row>
    <row r="20" spans="1:15" x14ac:dyDescent="0.2">
      <c r="A20" t="s">
        <v>39</v>
      </c>
      <c r="B20">
        <v>60</v>
      </c>
      <c r="C20" t="s">
        <v>10</v>
      </c>
      <c r="D20" t="s">
        <v>27</v>
      </c>
      <c r="E20">
        <v>295.18</v>
      </c>
      <c r="F20">
        <v>3</v>
      </c>
      <c r="G20" t="s">
        <v>15</v>
      </c>
      <c r="H20" s="1">
        <v>43327</v>
      </c>
      <c r="I20" s="14">
        <v>9</v>
      </c>
      <c r="J20" t="s">
        <v>527</v>
      </c>
      <c r="K20" t="s">
        <v>527</v>
      </c>
      <c r="L20" t="s">
        <v>528</v>
      </c>
      <c r="M20" t="s">
        <v>528</v>
      </c>
      <c r="N20" t="s">
        <v>528</v>
      </c>
      <c r="O20" t="s">
        <v>528</v>
      </c>
    </row>
    <row r="21" spans="1:15" x14ac:dyDescent="0.2">
      <c r="A21" t="s">
        <v>40</v>
      </c>
      <c r="B21">
        <v>75</v>
      </c>
      <c r="C21" t="s">
        <v>10</v>
      </c>
      <c r="D21" t="s">
        <v>11</v>
      </c>
      <c r="E21">
        <v>69.25</v>
      </c>
      <c r="F21">
        <v>2</v>
      </c>
      <c r="G21" t="s">
        <v>12</v>
      </c>
      <c r="H21" s="1">
        <v>43900</v>
      </c>
      <c r="I21" s="14">
        <v>3</v>
      </c>
      <c r="J21" t="s">
        <v>527</v>
      </c>
      <c r="K21" t="s">
        <v>527</v>
      </c>
      <c r="L21" t="s">
        <v>528</v>
      </c>
      <c r="M21" t="s">
        <v>528</v>
      </c>
      <c r="N21" t="s">
        <v>528</v>
      </c>
      <c r="O21" t="s">
        <v>527</v>
      </c>
    </row>
    <row r="22" spans="1:15" x14ac:dyDescent="0.2">
      <c r="A22" t="s">
        <v>41</v>
      </c>
      <c r="B22">
        <v>72</v>
      </c>
      <c r="C22" t="s">
        <v>544</v>
      </c>
      <c r="D22" t="s">
        <v>11</v>
      </c>
      <c r="E22">
        <v>99.12</v>
      </c>
      <c r="F22">
        <v>4</v>
      </c>
      <c r="G22" t="s">
        <v>15</v>
      </c>
      <c r="H22" s="1">
        <v>43276</v>
      </c>
      <c r="I22" s="14">
        <v>6</v>
      </c>
      <c r="J22" t="s">
        <v>528</v>
      </c>
      <c r="K22" t="s">
        <v>528</v>
      </c>
      <c r="L22" t="s">
        <v>527</v>
      </c>
      <c r="M22" t="s">
        <v>527</v>
      </c>
      <c r="N22" t="s">
        <v>527</v>
      </c>
      <c r="O22" t="s">
        <v>528</v>
      </c>
    </row>
    <row r="23" spans="1:15" x14ac:dyDescent="0.2">
      <c r="A23" t="s">
        <v>42</v>
      </c>
      <c r="B23">
        <v>59</v>
      </c>
      <c r="C23" t="s">
        <v>26</v>
      </c>
      <c r="D23" t="s">
        <v>11</v>
      </c>
      <c r="E23">
        <v>278.39999999999998</v>
      </c>
      <c r="F23">
        <v>3</v>
      </c>
      <c r="G23" t="s">
        <v>12</v>
      </c>
      <c r="H23" s="1">
        <v>43475</v>
      </c>
      <c r="I23" s="14">
        <v>3</v>
      </c>
      <c r="J23" t="s">
        <v>527</v>
      </c>
      <c r="K23" t="s">
        <v>527</v>
      </c>
      <c r="L23" t="s">
        <v>528</v>
      </c>
      <c r="M23" t="s">
        <v>528</v>
      </c>
      <c r="N23" t="s">
        <v>528</v>
      </c>
      <c r="O23" t="s">
        <v>527</v>
      </c>
    </row>
    <row r="24" spans="1:15" x14ac:dyDescent="0.2">
      <c r="A24" t="s">
        <v>43</v>
      </c>
      <c r="B24">
        <v>57</v>
      </c>
      <c r="C24" t="s">
        <v>10</v>
      </c>
      <c r="D24" t="s">
        <v>11</v>
      </c>
      <c r="E24">
        <v>490.53</v>
      </c>
      <c r="F24">
        <v>3</v>
      </c>
      <c r="G24" t="s">
        <v>12</v>
      </c>
      <c r="H24" s="1">
        <v>45139</v>
      </c>
      <c r="I24" s="14">
        <v>5</v>
      </c>
      <c r="J24" t="s">
        <v>527</v>
      </c>
      <c r="K24" t="s">
        <v>527</v>
      </c>
      <c r="L24" t="s">
        <v>528</v>
      </c>
      <c r="M24" t="s">
        <v>528</v>
      </c>
      <c r="N24" t="s">
        <v>528</v>
      </c>
      <c r="O24" t="s">
        <v>527</v>
      </c>
    </row>
    <row r="25" spans="1:15" x14ac:dyDescent="0.2">
      <c r="A25" t="s">
        <v>44</v>
      </c>
      <c r="B25">
        <v>37</v>
      </c>
      <c r="C25" t="s">
        <v>23</v>
      </c>
      <c r="D25" t="s">
        <v>27</v>
      </c>
      <c r="E25">
        <v>287.91000000000003</v>
      </c>
      <c r="F25">
        <v>3</v>
      </c>
      <c r="G25" t="s">
        <v>12</v>
      </c>
      <c r="H25" s="1">
        <v>43859</v>
      </c>
      <c r="I25" s="14">
        <v>4</v>
      </c>
      <c r="J25" t="s">
        <v>527</v>
      </c>
      <c r="K25" t="s">
        <v>527</v>
      </c>
      <c r="L25" t="s">
        <v>528</v>
      </c>
      <c r="M25" t="s">
        <v>528</v>
      </c>
      <c r="N25" t="s">
        <v>528</v>
      </c>
      <c r="O25" t="s">
        <v>528</v>
      </c>
    </row>
    <row r="26" spans="1:15" x14ac:dyDescent="0.2">
      <c r="A26" t="s">
        <v>45</v>
      </c>
      <c r="B26">
        <v>45</v>
      </c>
      <c r="C26" t="s">
        <v>10</v>
      </c>
      <c r="D26" t="s">
        <v>27</v>
      </c>
      <c r="E26">
        <v>489.44</v>
      </c>
      <c r="F26">
        <v>1</v>
      </c>
      <c r="G26" t="s">
        <v>12</v>
      </c>
      <c r="H26" s="1">
        <v>43345</v>
      </c>
      <c r="I26" s="14">
        <v>6</v>
      </c>
      <c r="J26" t="s">
        <v>527</v>
      </c>
      <c r="K26" t="s">
        <v>527</v>
      </c>
      <c r="L26" t="s">
        <v>528</v>
      </c>
      <c r="M26" t="s">
        <v>528</v>
      </c>
      <c r="N26" t="s">
        <v>528</v>
      </c>
      <c r="O26" t="s">
        <v>527</v>
      </c>
    </row>
    <row r="27" spans="1:15" x14ac:dyDescent="0.2">
      <c r="A27" t="s">
        <v>46</v>
      </c>
      <c r="B27">
        <v>27</v>
      </c>
      <c r="C27" t="s">
        <v>10</v>
      </c>
      <c r="D27" t="s">
        <v>11</v>
      </c>
      <c r="E27">
        <v>117.25</v>
      </c>
      <c r="F27">
        <v>2</v>
      </c>
      <c r="G27" t="s">
        <v>36</v>
      </c>
      <c r="H27" s="1">
        <v>43060</v>
      </c>
      <c r="I27" s="14">
        <v>9</v>
      </c>
      <c r="J27" t="s">
        <v>527</v>
      </c>
      <c r="K27" t="s">
        <v>527</v>
      </c>
      <c r="L27" t="s">
        <v>528</v>
      </c>
      <c r="M27" t="s">
        <v>528</v>
      </c>
      <c r="N27" t="s">
        <v>528</v>
      </c>
      <c r="O27" t="s">
        <v>527</v>
      </c>
    </row>
    <row r="28" spans="1:15" x14ac:dyDescent="0.2">
      <c r="A28" t="s">
        <v>47</v>
      </c>
      <c r="B28">
        <v>32</v>
      </c>
      <c r="C28" t="s">
        <v>10</v>
      </c>
      <c r="D28" t="s">
        <v>11</v>
      </c>
      <c r="E28">
        <v>220.79</v>
      </c>
      <c r="F28">
        <v>2</v>
      </c>
      <c r="G28" t="s">
        <v>20</v>
      </c>
      <c r="H28" s="1">
        <v>44714</v>
      </c>
      <c r="I28" s="14">
        <v>9</v>
      </c>
      <c r="J28" t="s">
        <v>527</v>
      </c>
      <c r="K28" t="s">
        <v>527</v>
      </c>
      <c r="L28" t="s">
        <v>528</v>
      </c>
      <c r="M28" t="s">
        <v>528</v>
      </c>
      <c r="N28" t="s">
        <v>528</v>
      </c>
      <c r="O28" t="s">
        <v>527</v>
      </c>
    </row>
    <row r="29" spans="1:15" x14ac:dyDescent="0.2">
      <c r="A29" t="s">
        <v>48</v>
      </c>
      <c r="B29">
        <v>36</v>
      </c>
      <c r="C29" t="s">
        <v>26</v>
      </c>
      <c r="D29" t="s">
        <v>27</v>
      </c>
      <c r="E29">
        <v>166.88</v>
      </c>
      <c r="F29">
        <v>2</v>
      </c>
      <c r="G29" t="s">
        <v>15</v>
      </c>
      <c r="H29" s="1">
        <v>43258</v>
      </c>
      <c r="I29" s="14">
        <v>7</v>
      </c>
      <c r="J29" t="s">
        <v>528</v>
      </c>
      <c r="K29" t="s">
        <v>527</v>
      </c>
      <c r="L29" t="s">
        <v>528</v>
      </c>
      <c r="M29" t="s">
        <v>528</v>
      </c>
      <c r="N29" t="s">
        <v>528</v>
      </c>
      <c r="O29" t="s">
        <v>527</v>
      </c>
    </row>
    <row r="30" spans="1:15" x14ac:dyDescent="0.2">
      <c r="A30" t="s">
        <v>49</v>
      </c>
      <c r="B30">
        <v>55</v>
      </c>
      <c r="C30" t="s">
        <v>10</v>
      </c>
      <c r="D30" t="s">
        <v>27</v>
      </c>
      <c r="E30">
        <v>426.92</v>
      </c>
      <c r="F30">
        <v>1</v>
      </c>
      <c r="G30" t="s">
        <v>15</v>
      </c>
      <c r="H30" s="1">
        <v>44868</v>
      </c>
      <c r="I30" s="14">
        <v>2</v>
      </c>
      <c r="J30" t="s">
        <v>527</v>
      </c>
      <c r="K30" t="s">
        <v>527</v>
      </c>
      <c r="L30" t="s">
        <v>528</v>
      </c>
      <c r="M30" t="s">
        <v>528</v>
      </c>
      <c r="N30" t="s">
        <v>528</v>
      </c>
      <c r="O30" t="s">
        <v>527</v>
      </c>
    </row>
    <row r="31" spans="1:15" x14ac:dyDescent="0.2">
      <c r="A31" t="s">
        <v>50</v>
      </c>
      <c r="B31">
        <v>51</v>
      </c>
      <c r="C31" t="s">
        <v>23</v>
      </c>
      <c r="D31" t="s">
        <v>17</v>
      </c>
      <c r="E31">
        <v>475.13</v>
      </c>
      <c r="F31">
        <v>1</v>
      </c>
      <c r="G31" t="s">
        <v>12</v>
      </c>
      <c r="H31" s="1">
        <v>42092</v>
      </c>
      <c r="I31" s="14">
        <v>1</v>
      </c>
      <c r="J31" t="s">
        <v>527</v>
      </c>
      <c r="K31" t="s">
        <v>527</v>
      </c>
      <c r="L31" t="s">
        <v>528</v>
      </c>
      <c r="M31" t="s">
        <v>528</v>
      </c>
      <c r="N31" t="s">
        <v>528</v>
      </c>
      <c r="O31" t="s">
        <v>527</v>
      </c>
    </row>
    <row r="32" spans="1:15" x14ac:dyDescent="0.2">
      <c r="A32" t="s">
        <v>51</v>
      </c>
      <c r="B32">
        <v>31</v>
      </c>
      <c r="C32" t="s">
        <v>10</v>
      </c>
      <c r="D32" t="s">
        <v>27</v>
      </c>
      <c r="E32">
        <v>353.97</v>
      </c>
      <c r="F32">
        <v>2</v>
      </c>
      <c r="G32" t="s">
        <v>12</v>
      </c>
      <c r="H32" s="1">
        <v>44855</v>
      </c>
      <c r="I32" s="14">
        <v>9</v>
      </c>
      <c r="J32" t="s">
        <v>527</v>
      </c>
      <c r="K32" t="s">
        <v>527</v>
      </c>
      <c r="L32" t="s">
        <v>528</v>
      </c>
      <c r="M32" t="s">
        <v>528</v>
      </c>
      <c r="N32" t="s">
        <v>528</v>
      </c>
      <c r="O32" t="s">
        <v>527</v>
      </c>
    </row>
    <row r="33" spans="1:15" x14ac:dyDescent="0.2">
      <c r="A33" t="s">
        <v>52</v>
      </c>
      <c r="B33">
        <v>38</v>
      </c>
      <c r="C33" t="s">
        <v>10</v>
      </c>
      <c r="D33" t="s">
        <v>17</v>
      </c>
      <c r="E33">
        <v>184.5</v>
      </c>
      <c r="F33">
        <v>3</v>
      </c>
      <c r="G33" t="s">
        <v>15</v>
      </c>
      <c r="H33" s="1">
        <v>45326</v>
      </c>
      <c r="I33" s="14">
        <v>5</v>
      </c>
      <c r="J33" t="s">
        <v>528</v>
      </c>
      <c r="K33" t="s">
        <v>527</v>
      </c>
      <c r="L33" t="s">
        <v>528</v>
      </c>
      <c r="M33" t="s">
        <v>528</v>
      </c>
      <c r="N33" t="s">
        <v>528</v>
      </c>
      <c r="O33" t="s">
        <v>528</v>
      </c>
    </row>
    <row r="34" spans="1:15" x14ac:dyDescent="0.2">
      <c r="A34" t="s">
        <v>53</v>
      </c>
      <c r="B34">
        <v>60</v>
      </c>
      <c r="C34" t="s">
        <v>10</v>
      </c>
      <c r="D34" t="s">
        <v>27</v>
      </c>
      <c r="E34">
        <v>94.11</v>
      </c>
      <c r="F34">
        <v>3</v>
      </c>
      <c r="G34" t="s">
        <v>12</v>
      </c>
      <c r="H34" s="1">
        <v>44676</v>
      </c>
      <c r="I34" s="14">
        <v>1</v>
      </c>
      <c r="J34" t="s">
        <v>528</v>
      </c>
      <c r="K34" t="s">
        <v>527</v>
      </c>
      <c r="L34" t="s">
        <v>528</v>
      </c>
      <c r="M34" t="s">
        <v>528</v>
      </c>
      <c r="N34" t="s">
        <v>528</v>
      </c>
      <c r="O34" t="s">
        <v>527</v>
      </c>
    </row>
    <row r="35" spans="1:15" x14ac:dyDescent="0.2">
      <c r="A35" t="s">
        <v>54</v>
      </c>
      <c r="B35">
        <v>36</v>
      </c>
      <c r="C35" t="s">
        <v>10</v>
      </c>
      <c r="D35" t="s">
        <v>11</v>
      </c>
      <c r="E35">
        <v>455.73</v>
      </c>
      <c r="F35">
        <v>1</v>
      </c>
      <c r="G35" t="s">
        <v>12</v>
      </c>
      <c r="H35" s="1">
        <v>42748</v>
      </c>
      <c r="I35" s="14">
        <v>6</v>
      </c>
      <c r="J35" t="s">
        <v>527</v>
      </c>
      <c r="K35" t="s">
        <v>527</v>
      </c>
      <c r="L35" t="s">
        <v>528</v>
      </c>
      <c r="M35" t="s">
        <v>528</v>
      </c>
      <c r="N35" t="s">
        <v>528</v>
      </c>
      <c r="O35" t="s">
        <v>527</v>
      </c>
    </row>
    <row r="36" spans="1:15" x14ac:dyDescent="0.2">
      <c r="A36" t="s">
        <v>55</v>
      </c>
      <c r="B36">
        <v>25</v>
      </c>
      <c r="C36" t="s">
        <v>26</v>
      </c>
      <c r="D36" t="s">
        <v>17</v>
      </c>
      <c r="E36">
        <v>478.1</v>
      </c>
      <c r="F36">
        <v>3</v>
      </c>
      <c r="G36" t="s">
        <v>12</v>
      </c>
      <c r="H36" s="1">
        <v>43932</v>
      </c>
      <c r="I36" s="14">
        <v>2</v>
      </c>
      <c r="J36" t="s">
        <v>527</v>
      </c>
      <c r="K36" t="s">
        <v>527</v>
      </c>
      <c r="L36" t="s">
        <v>528</v>
      </c>
      <c r="M36" t="s">
        <v>528</v>
      </c>
      <c r="N36" t="s">
        <v>528</v>
      </c>
      <c r="O36" t="s">
        <v>527</v>
      </c>
    </row>
    <row r="37" spans="1:15" x14ac:dyDescent="0.2">
      <c r="A37" t="s">
        <v>56</v>
      </c>
      <c r="B37">
        <v>63</v>
      </c>
      <c r="C37" t="s">
        <v>23</v>
      </c>
      <c r="D37" t="s">
        <v>27</v>
      </c>
      <c r="E37">
        <v>297.35000000000002</v>
      </c>
      <c r="F37">
        <v>3</v>
      </c>
      <c r="G37" t="s">
        <v>15</v>
      </c>
      <c r="H37" s="1">
        <v>45366</v>
      </c>
      <c r="I37" s="14">
        <v>3</v>
      </c>
      <c r="J37" t="s">
        <v>527</v>
      </c>
      <c r="K37" t="s">
        <v>527</v>
      </c>
      <c r="L37" t="s">
        <v>528</v>
      </c>
      <c r="M37" t="s">
        <v>528</v>
      </c>
      <c r="N37" t="s">
        <v>528</v>
      </c>
      <c r="O37" t="s">
        <v>527</v>
      </c>
    </row>
    <row r="38" spans="1:15" x14ac:dyDescent="0.2">
      <c r="A38" t="s">
        <v>57</v>
      </c>
      <c r="B38">
        <v>66</v>
      </c>
      <c r="C38" t="s">
        <v>10</v>
      </c>
      <c r="D38" t="s">
        <v>17</v>
      </c>
      <c r="E38">
        <v>138.11000000000001</v>
      </c>
      <c r="F38">
        <v>3</v>
      </c>
      <c r="G38" t="s">
        <v>36</v>
      </c>
      <c r="H38" s="1">
        <v>42785</v>
      </c>
      <c r="I38" s="14">
        <v>7</v>
      </c>
      <c r="J38" t="s">
        <v>527</v>
      </c>
      <c r="K38" t="s">
        <v>527</v>
      </c>
      <c r="L38" t="s">
        <v>528</v>
      </c>
      <c r="M38" t="s">
        <v>528</v>
      </c>
      <c r="N38" t="s">
        <v>528</v>
      </c>
      <c r="O38" t="s">
        <v>527</v>
      </c>
    </row>
    <row r="39" spans="1:15" x14ac:dyDescent="0.2">
      <c r="A39" t="s">
        <v>58</v>
      </c>
      <c r="B39">
        <v>40</v>
      </c>
      <c r="C39" t="s">
        <v>26</v>
      </c>
      <c r="D39" t="s">
        <v>17</v>
      </c>
      <c r="E39">
        <v>236.72</v>
      </c>
      <c r="F39">
        <v>1</v>
      </c>
      <c r="G39" t="s">
        <v>12</v>
      </c>
      <c r="H39" s="1">
        <v>43448</v>
      </c>
      <c r="I39" s="14">
        <v>7</v>
      </c>
      <c r="J39" t="s">
        <v>527</v>
      </c>
      <c r="K39" t="s">
        <v>528</v>
      </c>
      <c r="L39" t="s">
        <v>527</v>
      </c>
      <c r="M39" t="s">
        <v>528</v>
      </c>
      <c r="N39" t="s">
        <v>528</v>
      </c>
      <c r="O39" t="s">
        <v>527</v>
      </c>
    </row>
    <row r="40" spans="1:15" x14ac:dyDescent="0.2">
      <c r="A40" t="s">
        <v>59</v>
      </c>
      <c r="B40">
        <v>32</v>
      </c>
      <c r="C40" t="s">
        <v>10</v>
      </c>
      <c r="D40" t="s">
        <v>11</v>
      </c>
      <c r="E40">
        <v>465.28</v>
      </c>
      <c r="F40">
        <v>1</v>
      </c>
      <c r="G40" t="s">
        <v>36</v>
      </c>
      <c r="H40" s="1">
        <v>44025</v>
      </c>
      <c r="I40" s="14">
        <v>9</v>
      </c>
      <c r="J40" t="s">
        <v>527</v>
      </c>
      <c r="K40" t="s">
        <v>527</v>
      </c>
      <c r="L40" t="s">
        <v>528</v>
      </c>
      <c r="M40" t="s">
        <v>528</v>
      </c>
      <c r="N40" t="s">
        <v>528</v>
      </c>
      <c r="O40" t="s">
        <v>527</v>
      </c>
    </row>
    <row r="41" spans="1:15" x14ac:dyDescent="0.2">
      <c r="A41" t="s">
        <v>60</v>
      </c>
      <c r="B41">
        <v>69</v>
      </c>
      <c r="C41" t="s">
        <v>26</v>
      </c>
      <c r="D41" t="s">
        <v>11</v>
      </c>
      <c r="E41">
        <v>279.7</v>
      </c>
      <c r="F41">
        <v>4</v>
      </c>
      <c r="G41" t="s">
        <v>36</v>
      </c>
      <c r="H41" s="1">
        <v>44265</v>
      </c>
      <c r="I41" s="14">
        <v>10</v>
      </c>
      <c r="J41" t="s">
        <v>527</v>
      </c>
      <c r="K41" t="s">
        <v>527</v>
      </c>
      <c r="L41" t="s">
        <v>528</v>
      </c>
      <c r="M41" t="s">
        <v>528</v>
      </c>
      <c r="N41" t="s">
        <v>528</v>
      </c>
      <c r="O41" t="s">
        <v>527</v>
      </c>
    </row>
    <row r="42" spans="1:15" x14ac:dyDescent="0.2">
      <c r="A42" t="s">
        <v>61</v>
      </c>
      <c r="B42">
        <v>56</v>
      </c>
      <c r="C42" t="s">
        <v>23</v>
      </c>
      <c r="D42" t="s">
        <v>17</v>
      </c>
      <c r="E42">
        <v>104.65</v>
      </c>
      <c r="F42">
        <v>4</v>
      </c>
      <c r="G42" t="s">
        <v>20</v>
      </c>
      <c r="H42" s="1">
        <v>42747</v>
      </c>
      <c r="I42" s="14">
        <v>5</v>
      </c>
      <c r="J42" t="s">
        <v>527</v>
      </c>
      <c r="K42" t="s">
        <v>527</v>
      </c>
      <c r="L42" t="s">
        <v>528</v>
      </c>
      <c r="M42" t="s">
        <v>528</v>
      </c>
      <c r="N42" t="s">
        <v>528</v>
      </c>
      <c r="O42" t="s">
        <v>528</v>
      </c>
    </row>
    <row r="43" spans="1:15" x14ac:dyDescent="0.2">
      <c r="A43" t="s">
        <v>62</v>
      </c>
      <c r="B43">
        <v>30</v>
      </c>
      <c r="C43" t="s">
        <v>23</v>
      </c>
      <c r="D43" t="s">
        <v>11</v>
      </c>
      <c r="E43">
        <v>303.92</v>
      </c>
      <c r="F43">
        <v>3</v>
      </c>
      <c r="G43" t="s">
        <v>20</v>
      </c>
      <c r="H43" s="1">
        <v>42141</v>
      </c>
      <c r="I43" s="14">
        <v>9</v>
      </c>
      <c r="J43" t="s">
        <v>527</v>
      </c>
      <c r="K43" t="s">
        <v>527</v>
      </c>
      <c r="L43" t="s">
        <v>528</v>
      </c>
      <c r="M43" t="s">
        <v>528</v>
      </c>
      <c r="N43" t="s">
        <v>528</v>
      </c>
      <c r="O43" t="s">
        <v>527</v>
      </c>
    </row>
    <row r="44" spans="1:15" x14ac:dyDescent="0.2">
      <c r="A44" t="s">
        <v>63</v>
      </c>
      <c r="B44">
        <v>66</v>
      </c>
      <c r="C44" t="s">
        <v>10</v>
      </c>
      <c r="D44" t="s">
        <v>17</v>
      </c>
      <c r="E44">
        <v>411.53</v>
      </c>
      <c r="F44">
        <v>0</v>
      </c>
      <c r="G44" t="s">
        <v>15</v>
      </c>
      <c r="H44" s="1">
        <v>44577</v>
      </c>
      <c r="I44" s="14">
        <v>8</v>
      </c>
      <c r="J44" t="s">
        <v>527</v>
      </c>
      <c r="K44" t="s">
        <v>527</v>
      </c>
      <c r="L44" t="s">
        <v>528</v>
      </c>
      <c r="M44" t="s">
        <v>528</v>
      </c>
      <c r="N44" t="s">
        <v>528</v>
      </c>
      <c r="O44" t="s">
        <v>527</v>
      </c>
    </row>
    <row r="45" spans="1:15" x14ac:dyDescent="0.2">
      <c r="A45" t="s">
        <v>64</v>
      </c>
      <c r="B45">
        <v>49</v>
      </c>
      <c r="C45" t="s">
        <v>26</v>
      </c>
      <c r="D45" t="s">
        <v>17</v>
      </c>
      <c r="E45">
        <v>71.8</v>
      </c>
      <c r="F45">
        <v>2</v>
      </c>
      <c r="G45" t="s">
        <v>36</v>
      </c>
      <c r="H45" s="1">
        <v>42833</v>
      </c>
      <c r="I45" s="14">
        <v>7</v>
      </c>
      <c r="J45" t="s">
        <v>528</v>
      </c>
      <c r="K45" t="s">
        <v>527</v>
      </c>
      <c r="L45" t="s">
        <v>528</v>
      </c>
      <c r="M45" t="s">
        <v>528</v>
      </c>
      <c r="N45" t="s">
        <v>528</v>
      </c>
      <c r="O45" t="s">
        <v>528</v>
      </c>
    </row>
    <row r="46" spans="1:15" x14ac:dyDescent="0.2">
      <c r="A46" t="s">
        <v>65</v>
      </c>
      <c r="B46">
        <v>25</v>
      </c>
      <c r="C46" t="s">
        <v>10</v>
      </c>
      <c r="D46" t="s">
        <v>11</v>
      </c>
      <c r="E46">
        <v>193.31</v>
      </c>
      <c r="F46">
        <v>0</v>
      </c>
      <c r="G46" t="s">
        <v>12</v>
      </c>
      <c r="H46" s="1">
        <v>45228</v>
      </c>
      <c r="I46" s="14">
        <v>6</v>
      </c>
      <c r="J46" t="s">
        <v>528</v>
      </c>
      <c r="K46" t="s">
        <v>527</v>
      </c>
      <c r="L46" t="s">
        <v>528</v>
      </c>
      <c r="M46" t="s">
        <v>528</v>
      </c>
      <c r="N46" t="s">
        <v>528</v>
      </c>
      <c r="O46" t="s">
        <v>527</v>
      </c>
    </row>
    <row r="47" spans="1:15" x14ac:dyDescent="0.2">
      <c r="A47" t="s">
        <v>66</v>
      </c>
      <c r="B47">
        <v>38</v>
      </c>
      <c r="C47" t="s">
        <v>10</v>
      </c>
      <c r="D47" t="s">
        <v>27</v>
      </c>
      <c r="E47">
        <v>419.72</v>
      </c>
      <c r="F47">
        <v>3</v>
      </c>
      <c r="G47" t="s">
        <v>15</v>
      </c>
      <c r="H47" s="1">
        <v>45572</v>
      </c>
      <c r="I47" s="14">
        <v>4</v>
      </c>
      <c r="J47" t="s">
        <v>527</v>
      </c>
      <c r="K47" t="s">
        <v>527</v>
      </c>
      <c r="L47" t="s">
        <v>528</v>
      </c>
      <c r="M47" t="s">
        <v>528</v>
      </c>
      <c r="N47" t="s">
        <v>528</v>
      </c>
      <c r="O47" t="s">
        <v>527</v>
      </c>
    </row>
    <row r="48" spans="1:15" x14ac:dyDescent="0.2">
      <c r="A48" t="s">
        <v>67</v>
      </c>
      <c r="B48">
        <v>62</v>
      </c>
      <c r="C48" t="s">
        <v>26</v>
      </c>
      <c r="D48" t="s">
        <v>17</v>
      </c>
      <c r="E48">
        <v>475.05</v>
      </c>
      <c r="F48">
        <v>2</v>
      </c>
      <c r="G48" t="s">
        <v>20</v>
      </c>
      <c r="H48" s="1">
        <v>42449</v>
      </c>
      <c r="I48" s="14">
        <v>8</v>
      </c>
      <c r="J48" t="s">
        <v>527</v>
      </c>
      <c r="K48" t="s">
        <v>528</v>
      </c>
      <c r="L48" t="s">
        <v>527</v>
      </c>
      <c r="M48" t="s">
        <v>528</v>
      </c>
      <c r="N48" t="s">
        <v>528</v>
      </c>
      <c r="O48" t="s">
        <v>528</v>
      </c>
    </row>
    <row r="49" spans="1:15" x14ac:dyDescent="0.2">
      <c r="A49" t="s">
        <v>68</v>
      </c>
      <c r="B49">
        <v>74</v>
      </c>
      <c r="C49" t="s">
        <v>23</v>
      </c>
      <c r="D49" t="s">
        <v>27</v>
      </c>
      <c r="E49">
        <v>227.01</v>
      </c>
      <c r="F49">
        <v>3</v>
      </c>
      <c r="G49" t="s">
        <v>36</v>
      </c>
      <c r="H49" s="1">
        <v>43252</v>
      </c>
      <c r="I49" s="14">
        <v>1</v>
      </c>
      <c r="J49" t="s">
        <v>527</v>
      </c>
      <c r="K49" t="s">
        <v>527</v>
      </c>
      <c r="L49" t="s">
        <v>528</v>
      </c>
      <c r="M49" t="s">
        <v>528</v>
      </c>
      <c r="N49" t="s">
        <v>528</v>
      </c>
      <c r="O49" t="s">
        <v>527</v>
      </c>
    </row>
    <row r="50" spans="1:15" x14ac:dyDescent="0.2">
      <c r="A50" t="s">
        <v>69</v>
      </c>
      <c r="B50">
        <v>44</v>
      </c>
      <c r="C50" t="s">
        <v>10</v>
      </c>
      <c r="D50" t="s">
        <v>17</v>
      </c>
      <c r="E50">
        <v>489.68</v>
      </c>
      <c r="F50">
        <v>4</v>
      </c>
      <c r="G50" t="s">
        <v>12</v>
      </c>
      <c r="H50" s="1">
        <v>42323</v>
      </c>
      <c r="I50" s="14">
        <v>1</v>
      </c>
      <c r="J50" t="s">
        <v>527</v>
      </c>
      <c r="K50" t="s">
        <v>527</v>
      </c>
      <c r="L50" t="s">
        <v>528</v>
      </c>
      <c r="M50" t="s">
        <v>528</v>
      </c>
      <c r="N50" t="s">
        <v>528</v>
      </c>
      <c r="O50" t="s">
        <v>527</v>
      </c>
    </row>
    <row r="51" spans="1:15" x14ac:dyDescent="0.2">
      <c r="A51" t="s">
        <v>70</v>
      </c>
      <c r="B51">
        <v>50</v>
      </c>
      <c r="C51" t="s">
        <v>544</v>
      </c>
      <c r="D51" t="s">
        <v>11</v>
      </c>
      <c r="E51">
        <v>149.37</v>
      </c>
      <c r="F51">
        <v>4</v>
      </c>
      <c r="G51" t="s">
        <v>15</v>
      </c>
      <c r="H51" s="1">
        <v>44751</v>
      </c>
      <c r="I51" s="14">
        <v>4</v>
      </c>
      <c r="J51" t="s">
        <v>527</v>
      </c>
      <c r="K51" t="s">
        <v>527</v>
      </c>
      <c r="L51" t="s">
        <v>528</v>
      </c>
      <c r="M51" t="s">
        <v>528</v>
      </c>
      <c r="N51" t="s">
        <v>528</v>
      </c>
      <c r="O51" t="s">
        <v>527</v>
      </c>
    </row>
    <row r="52" spans="1:15" x14ac:dyDescent="0.2">
      <c r="A52" t="s">
        <v>71</v>
      </c>
      <c r="B52">
        <v>27</v>
      </c>
      <c r="C52" t="s">
        <v>10</v>
      </c>
      <c r="D52" t="s">
        <v>17</v>
      </c>
      <c r="E52">
        <v>255.28</v>
      </c>
      <c r="F52">
        <v>3</v>
      </c>
      <c r="G52" t="s">
        <v>36</v>
      </c>
      <c r="H52" s="1">
        <v>42816</v>
      </c>
      <c r="I52" s="14">
        <v>3</v>
      </c>
      <c r="J52" t="s">
        <v>527</v>
      </c>
      <c r="K52" t="s">
        <v>527</v>
      </c>
      <c r="L52" t="s">
        <v>528</v>
      </c>
      <c r="M52" t="s">
        <v>528</v>
      </c>
      <c r="N52" t="s">
        <v>528</v>
      </c>
      <c r="O52" t="s">
        <v>528</v>
      </c>
    </row>
    <row r="53" spans="1:15" x14ac:dyDescent="0.2">
      <c r="A53" t="s">
        <v>72</v>
      </c>
      <c r="B53">
        <v>38</v>
      </c>
      <c r="C53" t="s">
        <v>23</v>
      </c>
      <c r="D53" t="s">
        <v>17</v>
      </c>
      <c r="E53">
        <v>165.52</v>
      </c>
      <c r="F53">
        <v>2</v>
      </c>
      <c r="G53" t="s">
        <v>36</v>
      </c>
      <c r="H53" s="1">
        <v>42840</v>
      </c>
      <c r="I53" s="14">
        <v>1</v>
      </c>
      <c r="J53" t="s">
        <v>527</v>
      </c>
      <c r="K53" t="s">
        <v>527</v>
      </c>
      <c r="L53" t="s">
        <v>528</v>
      </c>
      <c r="M53" t="s">
        <v>528</v>
      </c>
      <c r="N53" t="s">
        <v>528</v>
      </c>
      <c r="O53" t="s">
        <v>528</v>
      </c>
    </row>
    <row r="54" spans="1:15" x14ac:dyDescent="0.2">
      <c r="A54" t="s">
        <v>73</v>
      </c>
      <c r="B54">
        <v>76</v>
      </c>
      <c r="C54" t="s">
        <v>10</v>
      </c>
      <c r="D54" t="s">
        <v>11</v>
      </c>
      <c r="E54">
        <v>368.75</v>
      </c>
      <c r="F54">
        <v>1</v>
      </c>
      <c r="G54" t="s">
        <v>12</v>
      </c>
      <c r="H54" s="1">
        <v>44712</v>
      </c>
      <c r="I54" s="14">
        <v>3</v>
      </c>
      <c r="J54" t="s">
        <v>527</v>
      </c>
      <c r="K54" t="s">
        <v>527</v>
      </c>
      <c r="L54" t="s">
        <v>528</v>
      </c>
      <c r="M54" t="s">
        <v>528</v>
      </c>
      <c r="N54" t="s">
        <v>528</v>
      </c>
      <c r="O54" t="s">
        <v>527</v>
      </c>
    </row>
    <row r="55" spans="1:15" x14ac:dyDescent="0.2">
      <c r="A55" t="s">
        <v>74</v>
      </c>
      <c r="B55">
        <v>45</v>
      </c>
      <c r="C55" t="s">
        <v>10</v>
      </c>
      <c r="D55" t="s">
        <v>27</v>
      </c>
      <c r="E55">
        <v>474.58</v>
      </c>
      <c r="F55">
        <v>1</v>
      </c>
      <c r="G55" t="s">
        <v>15</v>
      </c>
      <c r="H55" s="1">
        <v>42389</v>
      </c>
      <c r="I55" s="14">
        <v>7</v>
      </c>
      <c r="J55" t="s">
        <v>527</v>
      </c>
      <c r="K55" t="s">
        <v>527</v>
      </c>
      <c r="L55" t="s">
        <v>528</v>
      </c>
      <c r="M55" t="s">
        <v>528</v>
      </c>
      <c r="N55" t="s">
        <v>528</v>
      </c>
      <c r="O55" t="s">
        <v>527</v>
      </c>
    </row>
    <row r="56" spans="1:15" x14ac:dyDescent="0.2">
      <c r="A56" t="s">
        <v>75</v>
      </c>
      <c r="B56">
        <v>60</v>
      </c>
      <c r="C56" t="s">
        <v>23</v>
      </c>
      <c r="D56" t="s">
        <v>27</v>
      </c>
      <c r="E56">
        <v>357.84</v>
      </c>
      <c r="F56">
        <v>4</v>
      </c>
      <c r="G56" t="s">
        <v>12</v>
      </c>
      <c r="H56" s="1">
        <v>44601</v>
      </c>
      <c r="I56" s="14">
        <v>9</v>
      </c>
      <c r="J56" t="s">
        <v>527</v>
      </c>
      <c r="K56" t="s">
        <v>527</v>
      </c>
      <c r="L56" t="s">
        <v>528</v>
      </c>
      <c r="M56" t="s">
        <v>528</v>
      </c>
      <c r="N56" t="s">
        <v>528</v>
      </c>
      <c r="O56" t="s">
        <v>527</v>
      </c>
    </row>
    <row r="57" spans="1:15" x14ac:dyDescent="0.2">
      <c r="A57" t="s">
        <v>76</v>
      </c>
      <c r="B57">
        <v>19</v>
      </c>
      <c r="C57" t="s">
        <v>23</v>
      </c>
      <c r="D57" t="s">
        <v>11</v>
      </c>
      <c r="E57">
        <v>395.49</v>
      </c>
      <c r="F57">
        <v>4</v>
      </c>
      <c r="G57" t="s">
        <v>12</v>
      </c>
      <c r="H57" s="1">
        <v>45282</v>
      </c>
      <c r="I57" s="14">
        <v>9</v>
      </c>
      <c r="J57" t="s">
        <v>527</v>
      </c>
      <c r="K57" t="s">
        <v>527</v>
      </c>
      <c r="L57" t="s">
        <v>528</v>
      </c>
      <c r="M57" t="s">
        <v>528</v>
      </c>
      <c r="N57" t="s">
        <v>528</v>
      </c>
      <c r="O57" t="s">
        <v>527</v>
      </c>
    </row>
    <row r="58" spans="1:15" x14ac:dyDescent="0.2">
      <c r="A58" t="s">
        <v>77</v>
      </c>
      <c r="B58">
        <v>72</v>
      </c>
      <c r="C58" t="s">
        <v>26</v>
      </c>
      <c r="D58" t="s">
        <v>17</v>
      </c>
      <c r="E58">
        <v>104.89</v>
      </c>
      <c r="F58">
        <v>0</v>
      </c>
      <c r="G58" t="s">
        <v>12</v>
      </c>
      <c r="H58" s="1">
        <v>44968</v>
      </c>
      <c r="I58" s="14">
        <v>9</v>
      </c>
      <c r="J58" t="s">
        <v>527</v>
      </c>
      <c r="K58" t="s">
        <v>527</v>
      </c>
      <c r="L58" t="s">
        <v>528</v>
      </c>
      <c r="M58" t="s">
        <v>528</v>
      </c>
      <c r="N58" t="s">
        <v>528</v>
      </c>
      <c r="O58" t="s">
        <v>527</v>
      </c>
    </row>
    <row r="59" spans="1:15" x14ac:dyDescent="0.2">
      <c r="A59" t="s">
        <v>78</v>
      </c>
      <c r="B59">
        <v>40</v>
      </c>
      <c r="C59" t="s">
        <v>10</v>
      </c>
      <c r="D59" t="s">
        <v>17</v>
      </c>
      <c r="E59">
        <v>180.09</v>
      </c>
      <c r="F59">
        <v>1</v>
      </c>
      <c r="G59" t="s">
        <v>36</v>
      </c>
      <c r="H59" s="1">
        <v>43406</v>
      </c>
      <c r="I59" s="14">
        <v>5</v>
      </c>
      <c r="J59" t="s">
        <v>528</v>
      </c>
      <c r="K59" t="s">
        <v>527</v>
      </c>
      <c r="L59" t="s">
        <v>528</v>
      </c>
      <c r="M59" t="s">
        <v>528</v>
      </c>
      <c r="N59" t="s">
        <v>528</v>
      </c>
      <c r="O59" t="s">
        <v>527</v>
      </c>
    </row>
    <row r="60" spans="1:15" x14ac:dyDescent="0.2">
      <c r="A60" t="s">
        <v>79</v>
      </c>
      <c r="B60">
        <v>57</v>
      </c>
      <c r="C60" t="s">
        <v>10</v>
      </c>
      <c r="D60" t="s">
        <v>11</v>
      </c>
      <c r="E60">
        <v>186.97</v>
      </c>
      <c r="F60">
        <v>3</v>
      </c>
      <c r="G60" t="s">
        <v>20</v>
      </c>
      <c r="H60" s="1">
        <v>45173</v>
      </c>
      <c r="I60" s="14">
        <v>5</v>
      </c>
      <c r="J60" t="s">
        <v>528</v>
      </c>
      <c r="K60" t="s">
        <v>527</v>
      </c>
      <c r="L60" t="s">
        <v>528</v>
      </c>
      <c r="M60" t="s">
        <v>528</v>
      </c>
      <c r="N60" t="s">
        <v>528</v>
      </c>
      <c r="O60" t="s">
        <v>527</v>
      </c>
    </row>
    <row r="61" spans="1:15" x14ac:dyDescent="0.2">
      <c r="A61" t="s">
        <v>80</v>
      </c>
      <c r="B61">
        <v>53</v>
      </c>
      <c r="C61" t="s">
        <v>26</v>
      </c>
      <c r="D61" t="s">
        <v>11</v>
      </c>
      <c r="E61">
        <v>352.75</v>
      </c>
      <c r="F61">
        <v>0</v>
      </c>
      <c r="G61" t="s">
        <v>12</v>
      </c>
      <c r="H61" s="1">
        <v>44161</v>
      </c>
      <c r="I61" s="14">
        <v>4</v>
      </c>
      <c r="J61" t="s">
        <v>527</v>
      </c>
      <c r="K61" t="s">
        <v>527</v>
      </c>
      <c r="L61" t="s">
        <v>528</v>
      </c>
      <c r="M61" t="s">
        <v>528</v>
      </c>
      <c r="N61" t="s">
        <v>528</v>
      </c>
      <c r="O61" t="s">
        <v>527</v>
      </c>
    </row>
    <row r="62" spans="1:15" x14ac:dyDescent="0.2">
      <c r="A62" t="s">
        <v>81</v>
      </c>
      <c r="B62">
        <v>31</v>
      </c>
      <c r="C62" t="s">
        <v>23</v>
      </c>
      <c r="D62" t="s">
        <v>17</v>
      </c>
      <c r="E62">
        <v>386.5</v>
      </c>
      <c r="F62">
        <v>3</v>
      </c>
      <c r="G62" t="s">
        <v>12</v>
      </c>
      <c r="H62" s="1">
        <v>42093</v>
      </c>
      <c r="I62" s="14">
        <v>2</v>
      </c>
      <c r="J62" t="s">
        <v>527</v>
      </c>
      <c r="K62" t="s">
        <v>527</v>
      </c>
      <c r="L62" t="s">
        <v>528</v>
      </c>
      <c r="M62" t="s">
        <v>528</v>
      </c>
      <c r="N62" t="s">
        <v>528</v>
      </c>
      <c r="O62" t="s">
        <v>527</v>
      </c>
    </row>
    <row r="63" spans="1:15" x14ac:dyDescent="0.2">
      <c r="A63" t="s">
        <v>82</v>
      </c>
      <c r="B63">
        <v>39</v>
      </c>
      <c r="C63" t="s">
        <v>10</v>
      </c>
      <c r="D63" t="s">
        <v>27</v>
      </c>
      <c r="E63">
        <v>213.26</v>
      </c>
      <c r="F63">
        <v>1</v>
      </c>
      <c r="G63" t="s">
        <v>12</v>
      </c>
      <c r="H63" s="1">
        <v>43962</v>
      </c>
      <c r="I63" s="14">
        <v>5</v>
      </c>
      <c r="J63" t="s">
        <v>527</v>
      </c>
      <c r="K63" t="s">
        <v>527</v>
      </c>
      <c r="L63" t="s">
        <v>528</v>
      </c>
      <c r="M63" t="s">
        <v>528</v>
      </c>
      <c r="N63" t="s">
        <v>528</v>
      </c>
      <c r="O63" t="s">
        <v>527</v>
      </c>
    </row>
    <row r="64" spans="1:15" x14ac:dyDescent="0.2">
      <c r="A64" t="s">
        <v>83</v>
      </c>
      <c r="B64">
        <v>63</v>
      </c>
      <c r="C64" t="s">
        <v>10</v>
      </c>
      <c r="D64" t="s">
        <v>11</v>
      </c>
      <c r="E64">
        <v>99.1</v>
      </c>
      <c r="F64">
        <v>3</v>
      </c>
      <c r="G64" t="s">
        <v>36</v>
      </c>
      <c r="H64" s="1">
        <v>43202</v>
      </c>
      <c r="I64" s="14">
        <v>5</v>
      </c>
      <c r="J64" t="s">
        <v>527</v>
      </c>
      <c r="K64" t="s">
        <v>527</v>
      </c>
      <c r="L64" t="s">
        <v>528</v>
      </c>
      <c r="M64" t="s">
        <v>528</v>
      </c>
      <c r="N64" t="s">
        <v>528</v>
      </c>
      <c r="O64" t="s">
        <v>527</v>
      </c>
    </row>
    <row r="65" spans="1:15" x14ac:dyDescent="0.2">
      <c r="A65" t="s">
        <v>84</v>
      </c>
      <c r="B65">
        <v>26</v>
      </c>
      <c r="C65" t="s">
        <v>10</v>
      </c>
      <c r="D65" t="s">
        <v>11</v>
      </c>
      <c r="E65">
        <v>445.88</v>
      </c>
      <c r="F65">
        <v>0</v>
      </c>
      <c r="G65" t="s">
        <v>12</v>
      </c>
      <c r="H65" s="1">
        <v>43065</v>
      </c>
      <c r="I65" s="14">
        <v>6</v>
      </c>
      <c r="J65" t="s">
        <v>527</v>
      </c>
      <c r="K65" t="s">
        <v>527</v>
      </c>
      <c r="L65" t="s">
        <v>528</v>
      </c>
      <c r="M65" t="s">
        <v>528</v>
      </c>
      <c r="N65" t="s">
        <v>528</v>
      </c>
      <c r="O65" t="s">
        <v>527</v>
      </c>
    </row>
    <row r="66" spans="1:15" x14ac:dyDescent="0.2">
      <c r="A66" t="s">
        <v>85</v>
      </c>
      <c r="B66">
        <v>72</v>
      </c>
      <c r="C66" t="s">
        <v>10</v>
      </c>
      <c r="D66" t="s">
        <v>27</v>
      </c>
      <c r="E66">
        <v>163.16</v>
      </c>
      <c r="F66">
        <v>2</v>
      </c>
      <c r="G66" t="s">
        <v>20</v>
      </c>
      <c r="H66" s="1">
        <v>44810</v>
      </c>
      <c r="I66" s="14">
        <v>6</v>
      </c>
      <c r="J66" t="s">
        <v>528</v>
      </c>
      <c r="K66" t="s">
        <v>527</v>
      </c>
      <c r="L66" t="s">
        <v>528</v>
      </c>
      <c r="M66" t="s">
        <v>528</v>
      </c>
      <c r="N66" t="s">
        <v>528</v>
      </c>
      <c r="O66" t="s">
        <v>527</v>
      </c>
    </row>
    <row r="67" spans="1:15" x14ac:dyDescent="0.2">
      <c r="A67" t="s">
        <v>86</v>
      </c>
      <c r="B67">
        <v>71</v>
      </c>
      <c r="C67" t="s">
        <v>10</v>
      </c>
      <c r="D67" t="s">
        <v>17</v>
      </c>
      <c r="E67">
        <v>311.8</v>
      </c>
      <c r="F67">
        <v>4</v>
      </c>
      <c r="G67" t="s">
        <v>12</v>
      </c>
      <c r="H67" s="1">
        <v>43256</v>
      </c>
      <c r="I67" s="14">
        <v>7</v>
      </c>
      <c r="J67" t="s">
        <v>527</v>
      </c>
      <c r="K67" t="s">
        <v>527</v>
      </c>
      <c r="L67" t="s">
        <v>528</v>
      </c>
      <c r="M67" t="s">
        <v>528</v>
      </c>
      <c r="N67" t="s">
        <v>528</v>
      </c>
      <c r="O67" t="s">
        <v>527</v>
      </c>
    </row>
    <row r="68" spans="1:15" x14ac:dyDescent="0.2">
      <c r="A68" t="s">
        <v>87</v>
      </c>
      <c r="B68">
        <v>50</v>
      </c>
      <c r="C68" t="s">
        <v>544</v>
      </c>
      <c r="D68" t="s">
        <v>17</v>
      </c>
      <c r="E68">
        <v>431.92</v>
      </c>
      <c r="F68">
        <v>0</v>
      </c>
      <c r="G68" t="s">
        <v>36</v>
      </c>
      <c r="H68" s="1">
        <v>44134</v>
      </c>
      <c r="I68" s="14">
        <v>7</v>
      </c>
      <c r="J68" t="s">
        <v>527</v>
      </c>
      <c r="K68" t="s">
        <v>527</v>
      </c>
      <c r="L68" t="s">
        <v>528</v>
      </c>
      <c r="M68" t="s">
        <v>528</v>
      </c>
      <c r="N68" t="s">
        <v>528</v>
      </c>
      <c r="O68" t="s">
        <v>527</v>
      </c>
    </row>
    <row r="69" spans="1:15" x14ac:dyDescent="0.2">
      <c r="A69" t="s">
        <v>88</v>
      </c>
      <c r="B69">
        <v>31</v>
      </c>
      <c r="C69" t="s">
        <v>26</v>
      </c>
      <c r="D69" t="s">
        <v>17</v>
      </c>
      <c r="E69">
        <v>480.64</v>
      </c>
      <c r="F69">
        <v>2</v>
      </c>
      <c r="G69" t="s">
        <v>12</v>
      </c>
      <c r="H69" s="1">
        <v>44422</v>
      </c>
      <c r="I69" s="14">
        <v>7</v>
      </c>
      <c r="J69" t="s">
        <v>527</v>
      </c>
      <c r="K69" t="s">
        <v>527</v>
      </c>
      <c r="L69" t="s">
        <v>528</v>
      </c>
      <c r="M69" t="s">
        <v>528</v>
      </c>
      <c r="N69" t="s">
        <v>528</v>
      </c>
      <c r="O69" t="s">
        <v>527</v>
      </c>
    </row>
    <row r="70" spans="1:15" x14ac:dyDescent="0.2">
      <c r="A70" t="s">
        <v>89</v>
      </c>
      <c r="B70">
        <v>27</v>
      </c>
      <c r="C70" t="s">
        <v>10</v>
      </c>
      <c r="D70" t="s">
        <v>11</v>
      </c>
      <c r="E70">
        <v>181.92</v>
      </c>
      <c r="F70">
        <v>3</v>
      </c>
      <c r="G70" t="s">
        <v>15</v>
      </c>
      <c r="H70" s="1">
        <v>44230</v>
      </c>
      <c r="I70" s="14">
        <v>3</v>
      </c>
      <c r="J70" t="s">
        <v>527</v>
      </c>
      <c r="K70" t="s">
        <v>527</v>
      </c>
      <c r="L70" t="s">
        <v>528</v>
      </c>
      <c r="M70" t="s">
        <v>528</v>
      </c>
      <c r="N70" t="s">
        <v>528</v>
      </c>
      <c r="O70" t="s">
        <v>527</v>
      </c>
    </row>
    <row r="71" spans="1:15" x14ac:dyDescent="0.2">
      <c r="A71" t="s">
        <v>90</v>
      </c>
      <c r="B71">
        <v>48</v>
      </c>
      <c r="C71" t="s">
        <v>23</v>
      </c>
      <c r="D71" t="s">
        <v>27</v>
      </c>
      <c r="E71">
        <v>143.25</v>
      </c>
      <c r="F71">
        <v>1</v>
      </c>
      <c r="G71" t="s">
        <v>36</v>
      </c>
      <c r="H71" s="1">
        <v>44808</v>
      </c>
      <c r="I71" s="14">
        <v>1</v>
      </c>
      <c r="J71" t="s">
        <v>528</v>
      </c>
      <c r="K71" t="s">
        <v>527</v>
      </c>
      <c r="L71" t="s">
        <v>528</v>
      </c>
      <c r="M71" t="s">
        <v>528</v>
      </c>
      <c r="N71" t="s">
        <v>528</v>
      </c>
      <c r="O71" t="s">
        <v>528</v>
      </c>
    </row>
    <row r="72" spans="1:15" x14ac:dyDescent="0.2">
      <c r="A72" t="s">
        <v>91</v>
      </c>
      <c r="B72">
        <v>35</v>
      </c>
      <c r="C72" t="s">
        <v>26</v>
      </c>
      <c r="D72" t="s">
        <v>17</v>
      </c>
      <c r="E72">
        <v>305.42</v>
      </c>
      <c r="F72">
        <v>3</v>
      </c>
      <c r="G72" t="s">
        <v>12</v>
      </c>
      <c r="H72" s="1">
        <v>44142</v>
      </c>
      <c r="I72" s="14">
        <v>3</v>
      </c>
      <c r="J72" t="s">
        <v>527</v>
      </c>
      <c r="K72" t="s">
        <v>527</v>
      </c>
      <c r="L72" t="s">
        <v>528</v>
      </c>
      <c r="M72" t="s">
        <v>528</v>
      </c>
      <c r="N72" t="s">
        <v>528</v>
      </c>
      <c r="O72" t="s">
        <v>527</v>
      </c>
    </row>
    <row r="73" spans="1:15" x14ac:dyDescent="0.2">
      <c r="A73" t="s">
        <v>92</v>
      </c>
      <c r="B73">
        <v>57</v>
      </c>
      <c r="C73" t="s">
        <v>23</v>
      </c>
      <c r="D73" t="s">
        <v>17</v>
      </c>
      <c r="E73">
        <v>194.29</v>
      </c>
      <c r="F73">
        <v>2</v>
      </c>
      <c r="G73" t="s">
        <v>15</v>
      </c>
      <c r="H73" s="1">
        <v>44563</v>
      </c>
      <c r="I73" s="14">
        <v>1</v>
      </c>
      <c r="J73" t="s">
        <v>528</v>
      </c>
      <c r="K73" t="s">
        <v>528</v>
      </c>
      <c r="L73" t="s">
        <v>527</v>
      </c>
      <c r="M73" t="s">
        <v>528</v>
      </c>
      <c r="N73" t="s">
        <v>528</v>
      </c>
      <c r="O73" t="s">
        <v>528</v>
      </c>
    </row>
    <row r="74" spans="1:15" x14ac:dyDescent="0.2">
      <c r="A74" t="s">
        <v>93</v>
      </c>
      <c r="B74">
        <v>49</v>
      </c>
      <c r="C74" t="s">
        <v>10</v>
      </c>
      <c r="D74" t="s">
        <v>17</v>
      </c>
      <c r="E74">
        <v>331.39</v>
      </c>
      <c r="F74">
        <v>2</v>
      </c>
      <c r="G74" t="s">
        <v>15</v>
      </c>
      <c r="H74" s="1">
        <v>45647</v>
      </c>
      <c r="I74" s="14">
        <v>10</v>
      </c>
      <c r="J74" t="s">
        <v>527</v>
      </c>
      <c r="K74" t="s">
        <v>527</v>
      </c>
      <c r="L74" t="s">
        <v>528</v>
      </c>
      <c r="M74" t="s">
        <v>528</v>
      </c>
      <c r="N74" t="s">
        <v>528</v>
      </c>
      <c r="O74" t="s">
        <v>527</v>
      </c>
    </row>
    <row r="75" spans="1:15" x14ac:dyDescent="0.2">
      <c r="A75" t="s">
        <v>94</v>
      </c>
      <c r="B75">
        <v>19</v>
      </c>
      <c r="C75" t="s">
        <v>23</v>
      </c>
      <c r="D75" t="s">
        <v>27</v>
      </c>
      <c r="E75">
        <v>461.65</v>
      </c>
      <c r="F75">
        <v>1</v>
      </c>
      <c r="G75" t="s">
        <v>12</v>
      </c>
      <c r="H75" s="1">
        <v>45353</v>
      </c>
      <c r="I75" s="14">
        <v>5</v>
      </c>
      <c r="J75" t="s">
        <v>527</v>
      </c>
      <c r="K75" t="s">
        <v>527</v>
      </c>
      <c r="L75" t="s">
        <v>528</v>
      </c>
      <c r="M75" t="s">
        <v>528</v>
      </c>
      <c r="N75" t="s">
        <v>528</v>
      </c>
      <c r="O75" t="s">
        <v>527</v>
      </c>
    </row>
    <row r="76" spans="1:15" x14ac:dyDescent="0.2">
      <c r="A76" t="s">
        <v>95</v>
      </c>
      <c r="B76">
        <v>53</v>
      </c>
      <c r="C76" t="s">
        <v>10</v>
      </c>
      <c r="D76" t="s">
        <v>17</v>
      </c>
      <c r="E76">
        <v>134.72</v>
      </c>
      <c r="F76">
        <v>1</v>
      </c>
      <c r="G76" t="s">
        <v>12</v>
      </c>
      <c r="H76" s="1">
        <v>43631</v>
      </c>
      <c r="I76" s="14">
        <v>8</v>
      </c>
      <c r="J76" t="s">
        <v>528</v>
      </c>
      <c r="K76" t="s">
        <v>527</v>
      </c>
      <c r="L76" t="s">
        <v>528</v>
      </c>
      <c r="M76" t="s">
        <v>528</v>
      </c>
      <c r="N76" t="s">
        <v>528</v>
      </c>
      <c r="O76" t="s">
        <v>527</v>
      </c>
    </row>
    <row r="77" spans="1:15" x14ac:dyDescent="0.2">
      <c r="A77" t="s">
        <v>96</v>
      </c>
      <c r="B77">
        <v>57</v>
      </c>
      <c r="C77" t="s">
        <v>26</v>
      </c>
      <c r="D77" t="s">
        <v>27</v>
      </c>
      <c r="E77">
        <v>139.6</v>
      </c>
      <c r="F77">
        <v>3</v>
      </c>
      <c r="G77" t="s">
        <v>36</v>
      </c>
      <c r="H77" s="1">
        <v>45614</v>
      </c>
      <c r="I77" s="14">
        <v>9</v>
      </c>
      <c r="J77" t="s">
        <v>527</v>
      </c>
      <c r="K77" t="s">
        <v>527</v>
      </c>
      <c r="L77" t="s">
        <v>528</v>
      </c>
      <c r="M77" t="s">
        <v>528</v>
      </c>
      <c r="N77" t="s">
        <v>528</v>
      </c>
      <c r="O77" t="s">
        <v>527</v>
      </c>
    </row>
    <row r="78" spans="1:15" x14ac:dyDescent="0.2">
      <c r="A78" t="s">
        <v>97</v>
      </c>
      <c r="B78">
        <v>34</v>
      </c>
      <c r="C78" t="s">
        <v>10</v>
      </c>
      <c r="D78" t="s">
        <v>27</v>
      </c>
      <c r="E78">
        <v>332.58</v>
      </c>
      <c r="F78">
        <v>3</v>
      </c>
      <c r="G78" t="s">
        <v>36</v>
      </c>
      <c r="H78" s="1">
        <v>44933</v>
      </c>
      <c r="I78" s="14">
        <v>1</v>
      </c>
      <c r="J78" t="s">
        <v>527</v>
      </c>
      <c r="K78" t="s">
        <v>527</v>
      </c>
      <c r="L78" t="s">
        <v>528</v>
      </c>
      <c r="M78" t="s">
        <v>528</v>
      </c>
      <c r="N78" t="s">
        <v>528</v>
      </c>
      <c r="O78" t="s">
        <v>527</v>
      </c>
    </row>
    <row r="79" spans="1:15" x14ac:dyDescent="0.2">
      <c r="A79" t="s">
        <v>98</v>
      </c>
      <c r="B79">
        <v>44</v>
      </c>
      <c r="C79" t="s">
        <v>26</v>
      </c>
      <c r="D79" t="s">
        <v>17</v>
      </c>
      <c r="E79">
        <v>365.2</v>
      </c>
      <c r="F79">
        <v>1</v>
      </c>
      <c r="G79" t="s">
        <v>12</v>
      </c>
      <c r="H79" s="1">
        <v>42125</v>
      </c>
      <c r="I79" s="14">
        <v>10</v>
      </c>
      <c r="J79" t="s">
        <v>527</v>
      </c>
      <c r="K79" t="s">
        <v>527</v>
      </c>
      <c r="L79" t="s">
        <v>528</v>
      </c>
      <c r="M79" t="s">
        <v>528</v>
      </c>
      <c r="N79" t="s">
        <v>528</v>
      </c>
      <c r="O79" t="s">
        <v>527</v>
      </c>
    </row>
    <row r="80" spans="1:15" x14ac:dyDescent="0.2">
      <c r="A80" t="s">
        <v>99</v>
      </c>
      <c r="B80">
        <v>57</v>
      </c>
      <c r="C80" t="s">
        <v>10</v>
      </c>
      <c r="D80" t="s">
        <v>27</v>
      </c>
      <c r="E80">
        <v>413.08</v>
      </c>
      <c r="F80">
        <v>1</v>
      </c>
      <c r="G80" t="s">
        <v>36</v>
      </c>
      <c r="H80" s="1">
        <v>44629</v>
      </c>
      <c r="I80" s="14">
        <v>10</v>
      </c>
      <c r="J80" t="s">
        <v>527</v>
      </c>
      <c r="K80" t="s">
        <v>527</v>
      </c>
      <c r="L80" t="s">
        <v>528</v>
      </c>
      <c r="M80" t="s">
        <v>528</v>
      </c>
      <c r="N80" t="s">
        <v>528</v>
      </c>
      <c r="O80" t="s">
        <v>528</v>
      </c>
    </row>
    <row r="81" spans="1:15" x14ac:dyDescent="0.2">
      <c r="A81" t="s">
        <v>100</v>
      </c>
      <c r="B81">
        <v>64</v>
      </c>
      <c r="C81" t="s">
        <v>10</v>
      </c>
      <c r="D81" t="s">
        <v>17</v>
      </c>
      <c r="E81">
        <v>170.64</v>
      </c>
      <c r="F81">
        <v>0</v>
      </c>
      <c r="G81" t="s">
        <v>15</v>
      </c>
      <c r="H81" s="1">
        <v>45390</v>
      </c>
      <c r="I81" s="14" t="s">
        <v>544</v>
      </c>
      <c r="J81" t="s">
        <v>527</v>
      </c>
      <c r="K81" t="s">
        <v>527</v>
      </c>
      <c r="L81" t="s">
        <v>528</v>
      </c>
      <c r="M81" t="s">
        <v>528</v>
      </c>
      <c r="N81" t="s">
        <v>528</v>
      </c>
      <c r="O81" t="s">
        <v>527</v>
      </c>
    </row>
    <row r="82" spans="1:15" x14ac:dyDescent="0.2">
      <c r="A82" t="s">
        <v>101</v>
      </c>
      <c r="B82">
        <v>52</v>
      </c>
      <c r="C82" t="s">
        <v>10</v>
      </c>
      <c r="D82" t="s">
        <v>27</v>
      </c>
      <c r="E82">
        <v>121.62</v>
      </c>
      <c r="F82">
        <v>4</v>
      </c>
      <c r="G82" t="s">
        <v>36</v>
      </c>
      <c r="H82" s="1">
        <v>44995</v>
      </c>
      <c r="I82" s="14">
        <v>4</v>
      </c>
      <c r="J82" t="s">
        <v>527</v>
      </c>
      <c r="K82" t="s">
        <v>527</v>
      </c>
      <c r="L82" t="s">
        <v>528</v>
      </c>
      <c r="M82" t="s">
        <v>528</v>
      </c>
      <c r="N82" t="s">
        <v>528</v>
      </c>
      <c r="O82" t="s">
        <v>528</v>
      </c>
    </row>
    <row r="83" spans="1:15" x14ac:dyDescent="0.2">
      <c r="A83" t="s">
        <v>102</v>
      </c>
      <c r="B83">
        <v>37</v>
      </c>
      <c r="C83" t="s">
        <v>23</v>
      </c>
      <c r="D83" t="s">
        <v>27</v>
      </c>
      <c r="E83">
        <v>75.040000000000006</v>
      </c>
      <c r="F83">
        <v>1</v>
      </c>
      <c r="G83" t="s">
        <v>15</v>
      </c>
      <c r="H83" s="1">
        <v>43150</v>
      </c>
      <c r="I83" s="14">
        <v>5</v>
      </c>
      <c r="J83" t="s">
        <v>528</v>
      </c>
      <c r="K83" t="s">
        <v>528</v>
      </c>
      <c r="L83" t="s">
        <v>527</v>
      </c>
      <c r="M83" t="s">
        <v>528</v>
      </c>
      <c r="N83" t="s">
        <v>528</v>
      </c>
      <c r="O83" t="s">
        <v>527</v>
      </c>
    </row>
    <row r="84" spans="1:15" x14ac:dyDescent="0.2">
      <c r="A84" t="s">
        <v>103</v>
      </c>
      <c r="B84">
        <v>51</v>
      </c>
      <c r="C84" t="s">
        <v>26</v>
      </c>
      <c r="D84" t="s">
        <v>17</v>
      </c>
      <c r="E84">
        <v>407.79</v>
      </c>
      <c r="F84">
        <v>4</v>
      </c>
      <c r="G84" t="s">
        <v>12</v>
      </c>
      <c r="H84" s="1">
        <v>43086</v>
      </c>
      <c r="I84" s="14">
        <v>3</v>
      </c>
      <c r="J84" t="s">
        <v>527</v>
      </c>
      <c r="K84" t="s">
        <v>527</v>
      </c>
      <c r="L84" t="s">
        <v>528</v>
      </c>
      <c r="M84" t="s">
        <v>528</v>
      </c>
      <c r="N84" t="s">
        <v>528</v>
      </c>
      <c r="O84" t="s">
        <v>527</v>
      </c>
    </row>
    <row r="85" spans="1:15" x14ac:dyDescent="0.2">
      <c r="A85" t="s">
        <v>104</v>
      </c>
      <c r="B85">
        <v>46</v>
      </c>
      <c r="C85" t="s">
        <v>10</v>
      </c>
      <c r="D85" t="s">
        <v>11</v>
      </c>
      <c r="E85">
        <v>158.58000000000001</v>
      </c>
      <c r="F85">
        <v>3</v>
      </c>
      <c r="G85" t="s">
        <v>20</v>
      </c>
      <c r="H85" s="1">
        <v>44658</v>
      </c>
      <c r="I85" s="14">
        <v>9</v>
      </c>
      <c r="J85" t="s">
        <v>527</v>
      </c>
      <c r="K85" t="s">
        <v>527</v>
      </c>
      <c r="L85" t="s">
        <v>528</v>
      </c>
      <c r="M85" t="s">
        <v>528</v>
      </c>
      <c r="N85" t="s">
        <v>528</v>
      </c>
      <c r="O85" t="s">
        <v>527</v>
      </c>
    </row>
    <row r="86" spans="1:15" x14ac:dyDescent="0.2">
      <c r="A86" t="s">
        <v>105</v>
      </c>
      <c r="B86">
        <v>58</v>
      </c>
      <c r="C86" t="s">
        <v>26</v>
      </c>
      <c r="D86" t="s">
        <v>27</v>
      </c>
      <c r="E86">
        <v>343.93</v>
      </c>
      <c r="F86">
        <v>1</v>
      </c>
      <c r="G86" t="s">
        <v>15</v>
      </c>
      <c r="H86" s="1">
        <v>42104</v>
      </c>
      <c r="I86" s="14">
        <v>8</v>
      </c>
      <c r="J86" t="s">
        <v>527</v>
      </c>
      <c r="K86" t="s">
        <v>527</v>
      </c>
      <c r="L86" t="s">
        <v>528</v>
      </c>
      <c r="M86" t="s">
        <v>528</v>
      </c>
      <c r="N86" t="s">
        <v>528</v>
      </c>
      <c r="O86" t="s">
        <v>527</v>
      </c>
    </row>
    <row r="87" spans="1:15" x14ac:dyDescent="0.2">
      <c r="A87" t="s">
        <v>106</v>
      </c>
      <c r="B87">
        <v>79</v>
      </c>
      <c r="C87" t="s">
        <v>23</v>
      </c>
      <c r="D87" t="s">
        <v>17</v>
      </c>
      <c r="E87">
        <v>294.29000000000002</v>
      </c>
      <c r="F87">
        <v>2</v>
      </c>
      <c r="G87" t="s">
        <v>36</v>
      </c>
      <c r="H87" s="1">
        <v>42698</v>
      </c>
      <c r="I87" s="14">
        <v>1</v>
      </c>
      <c r="J87" t="s">
        <v>527</v>
      </c>
      <c r="K87" t="s">
        <v>527</v>
      </c>
      <c r="L87" t="s">
        <v>528</v>
      </c>
      <c r="M87" t="s">
        <v>528</v>
      </c>
      <c r="N87" t="s">
        <v>528</v>
      </c>
      <c r="O87" t="s">
        <v>527</v>
      </c>
    </row>
    <row r="88" spans="1:15" x14ac:dyDescent="0.2">
      <c r="A88" t="s">
        <v>107</v>
      </c>
      <c r="B88">
        <v>35</v>
      </c>
      <c r="C88" t="s">
        <v>26</v>
      </c>
      <c r="D88" t="s">
        <v>17</v>
      </c>
      <c r="E88">
        <v>120.84</v>
      </c>
      <c r="F88">
        <v>1</v>
      </c>
      <c r="G88" t="s">
        <v>15</v>
      </c>
      <c r="H88" s="1">
        <v>45601</v>
      </c>
      <c r="I88" s="14">
        <v>4</v>
      </c>
      <c r="J88" t="s">
        <v>527</v>
      </c>
      <c r="K88" t="s">
        <v>527</v>
      </c>
      <c r="L88" t="s">
        <v>528</v>
      </c>
      <c r="M88" t="s">
        <v>528</v>
      </c>
      <c r="N88" t="s">
        <v>528</v>
      </c>
      <c r="O88" t="s">
        <v>528</v>
      </c>
    </row>
    <row r="89" spans="1:15" x14ac:dyDescent="0.2">
      <c r="A89" t="s">
        <v>108</v>
      </c>
      <c r="B89">
        <v>31</v>
      </c>
      <c r="C89" t="s">
        <v>10</v>
      </c>
      <c r="D89" t="s">
        <v>17</v>
      </c>
      <c r="E89">
        <v>423.05</v>
      </c>
      <c r="F89">
        <v>4</v>
      </c>
      <c r="G89" t="s">
        <v>12</v>
      </c>
      <c r="H89" s="1">
        <v>45412</v>
      </c>
      <c r="I89" s="14">
        <v>10</v>
      </c>
      <c r="J89" t="s">
        <v>527</v>
      </c>
      <c r="K89" t="s">
        <v>527</v>
      </c>
      <c r="L89" t="s">
        <v>528</v>
      </c>
      <c r="M89" t="s">
        <v>528</v>
      </c>
      <c r="N89" t="s">
        <v>528</v>
      </c>
      <c r="O89" t="s">
        <v>527</v>
      </c>
    </row>
    <row r="90" spans="1:15" x14ac:dyDescent="0.2">
      <c r="A90" t="s">
        <v>109</v>
      </c>
      <c r="B90">
        <v>20</v>
      </c>
      <c r="C90" t="s">
        <v>544</v>
      </c>
      <c r="D90" t="s">
        <v>11</v>
      </c>
      <c r="E90">
        <v>491.22</v>
      </c>
      <c r="F90">
        <v>2</v>
      </c>
      <c r="G90" t="s">
        <v>20</v>
      </c>
      <c r="H90" s="1">
        <v>45025</v>
      </c>
      <c r="I90" s="14">
        <v>4</v>
      </c>
      <c r="J90" t="s">
        <v>527</v>
      </c>
      <c r="K90" t="s">
        <v>527</v>
      </c>
      <c r="L90" t="s">
        <v>528</v>
      </c>
      <c r="M90" t="s">
        <v>528</v>
      </c>
      <c r="N90" t="s">
        <v>528</v>
      </c>
      <c r="O90" t="s">
        <v>527</v>
      </c>
    </row>
    <row r="91" spans="1:15" x14ac:dyDescent="0.2">
      <c r="A91" t="s">
        <v>110</v>
      </c>
      <c r="B91">
        <v>58</v>
      </c>
      <c r="C91" t="s">
        <v>544</v>
      </c>
      <c r="D91" t="s">
        <v>27</v>
      </c>
      <c r="E91">
        <v>52.96</v>
      </c>
      <c r="F91">
        <v>2</v>
      </c>
      <c r="G91" t="s">
        <v>12</v>
      </c>
      <c r="H91" s="1">
        <v>43245</v>
      </c>
      <c r="I91" s="14">
        <v>4</v>
      </c>
      <c r="J91" t="s">
        <v>528</v>
      </c>
      <c r="K91" t="s">
        <v>527</v>
      </c>
      <c r="L91" t="s">
        <v>528</v>
      </c>
      <c r="M91" t="s">
        <v>528</v>
      </c>
      <c r="N91" t="s">
        <v>528</v>
      </c>
      <c r="O91" t="s">
        <v>528</v>
      </c>
    </row>
    <row r="92" spans="1:15" x14ac:dyDescent="0.2">
      <c r="A92" t="s">
        <v>111</v>
      </c>
      <c r="B92">
        <v>79</v>
      </c>
      <c r="C92" t="s">
        <v>23</v>
      </c>
      <c r="D92" t="s">
        <v>17</v>
      </c>
      <c r="E92">
        <v>226.85</v>
      </c>
      <c r="F92">
        <v>2</v>
      </c>
      <c r="G92" t="s">
        <v>15</v>
      </c>
      <c r="H92" s="1">
        <v>44317</v>
      </c>
      <c r="I92" s="14" t="s">
        <v>544</v>
      </c>
      <c r="J92" t="s">
        <v>527</v>
      </c>
      <c r="K92" t="s">
        <v>527</v>
      </c>
      <c r="L92" t="s">
        <v>528</v>
      </c>
      <c r="M92" t="s">
        <v>528</v>
      </c>
      <c r="N92" t="s">
        <v>528</v>
      </c>
      <c r="O92" t="s">
        <v>527</v>
      </c>
    </row>
    <row r="93" spans="1:15" x14ac:dyDescent="0.2">
      <c r="A93" t="s">
        <v>112</v>
      </c>
      <c r="B93">
        <v>60</v>
      </c>
      <c r="C93" t="s">
        <v>10</v>
      </c>
      <c r="D93" t="s">
        <v>11</v>
      </c>
      <c r="E93">
        <v>437.91</v>
      </c>
      <c r="F93">
        <v>4</v>
      </c>
      <c r="G93" t="s">
        <v>20</v>
      </c>
      <c r="H93" s="1">
        <v>45498</v>
      </c>
      <c r="I93" s="14">
        <v>7</v>
      </c>
      <c r="J93" t="s">
        <v>527</v>
      </c>
      <c r="K93" t="s">
        <v>527</v>
      </c>
      <c r="L93" t="s">
        <v>528</v>
      </c>
      <c r="M93" t="s">
        <v>528</v>
      </c>
      <c r="N93" t="s">
        <v>528</v>
      </c>
      <c r="O93" t="s">
        <v>527</v>
      </c>
    </row>
    <row r="94" spans="1:15" x14ac:dyDescent="0.2">
      <c r="A94" t="s">
        <v>113</v>
      </c>
      <c r="B94">
        <v>70</v>
      </c>
      <c r="C94" t="s">
        <v>26</v>
      </c>
      <c r="D94" t="s">
        <v>11</v>
      </c>
      <c r="E94">
        <v>146.46</v>
      </c>
      <c r="F94">
        <v>0</v>
      </c>
      <c r="G94" t="s">
        <v>12</v>
      </c>
      <c r="H94" s="1">
        <v>42465</v>
      </c>
      <c r="I94" s="14">
        <v>5</v>
      </c>
      <c r="J94" t="s">
        <v>528</v>
      </c>
      <c r="K94" t="s">
        <v>527</v>
      </c>
      <c r="L94" t="s">
        <v>528</v>
      </c>
      <c r="M94" t="s">
        <v>528</v>
      </c>
      <c r="N94" t="s">
        <v>528</v>
      </c>
      <c r="O94" t="s">
        <v>527</v>
      </c>
    </row>
    <row r="95" spans="1:15" x14ac:dyDescent="0.2">
      <c r="A95" t="s">
        <v>114</v>
      </c>
      <c r="B95">
        <v>19</v>
      </c>
      <c r="C95" t="s">
        <v>23</v>
      </c>
      <c r="D95" t="s">
        <v>27</v>
      </c>
      <c r="E95">
        <v>266.86</v>
      </c>
      <c r="F95">
        <v>0</v>
      </c>
      <c r="G95" t="s">
        <v>36</v>
      </c>
      <c r="H95" s="1">
        <v>43325</v>
      </c>
      <c r="I95" s="14">
        <v>1</v>
      </c>
      <c r="J95" t="s">
        <v>527</v>
      </c>
      <c r="K95" t="s">
        <v>527</v>
      </c>
      <c r="L95" t="s">
        <v>528</v>
      </c>
      <c r="M95" t="s">
        <v>528</v>
      </c>
      <c r="N95" t="s">
        <v>528</v>
      </c>
      <c r="O95" t="s">
        <v>527</v>
      </c>
    </row>
    <row r="96" spans="1:15" x14ac:dyDescent="0.2">
      <c r="A96" t="s">
        <v>115</v>
      </c>
      <c r="B96">
        <v>20</v>
      </c>
      <c r="C96" t="s">
        <v>10</v>
      </c>
      <c r="D96" t="s">
        <v>27</v>
      </c>
      <c r="E96">
        <v>99.61</v>
      </c>
      <c r="F96">
        <v>1</v>
      </c>
      <c r="G96" t="s">
        <v>12</v>
      </c>
      <c r="H96" s="1">
        <v>45068</v>
      </c>
      <c r="I96" s="14">
        <v>6</v>
      </c>
      <c r="J96" t="s">
        <v>528</v>
      </c>
      <c r="K96" t="s">
        <v>527</v>
      </c>
      <c r="L96" t="s">
        <v>528</v>
      </c>
      <c r="M96" t="s">
        <v>528</v>
      </c>
      <c r="N96" t="s">
        <v>528</v>
      </c>
      <c r="O96" t="s">
        <v>527</v>
      </c>
    </row>
    <row r="97" spans="1:15" x14ac:dyDescent="0.2">
      <c r="A97" t="s">
        <v>116</v>
      </c>
      <c r="B97">
        <v>33</v>
      </c>
      <c r="C97" t="s">
        <v>26</v>
      </c>
      <c r="D97" t="s">
        <v>17</v>
      </c>
      <c r="E97">
        <v>145.5</v>
      </c>
      <c r="F97">
        <v>0</v>
      </c>
      <c r="G97" t="s">
        <v>12</v>
      </c>
      <c r="H97" s="1">
        <v>43061</v>
      </c>
      <c r="I97" s="14">
        <v>6</v>
      </c>
      <c r="J97" t="s">
        <v>527</v>
      </c>
      <c r="K97" t="s">
        <v>527</v>
      </c>
      <c r="L97" t="s">
        <v>528</v>
      </c>
      <c r="M97" t="s">
        <v>528</v>
      </c>
      <c r="N97" t="s">
        <v>528</v>
      </c>
      <c r="O97" t="s">
        <v>527</v>
      </c>
    </row>
    <row r="98" spans="1:15" x14ac:dyDescent="0.2">
      <c r="A98" t="s">
        <v>117</v>
      </c>
      <c r="B98">
        <v>53</v>
      </c>
      <c r="C98" t="s">
        <v>26</v>
      </c>
      <c r="D98" t="s">
        <v>27</v>
      </c>
      <c r="E98">
        <v>55.16</v>
      </c>
      <c r="F98">
        <v>0</v>
      </c>
      <c r="G98" t="s">
        <v>12</v>
      </c>
      <c r="H98" s="1">
        <v>42414</v>
      </c>
      <c r="I98" s="14">
        <v>4</v>
      </c>
      <c r="J98" t="s">
        <v>528</v>
      </c>
      <c r="K98" t="s">
        <v>527</v>
      </c>
      <c r="L98" t="s">
        <v>528</v>
      </c>
      <c r="M98" t="s">
        <v>528</v>
      </c>
      <c r="N98" t="s">
        <v>528</v>
      </c>
      <c r="O98" t="s">
        <v>527</v>
      </c>
    </row>
    <row r="99" spans="1:15" x14ac:dyDescent="0.2">
      <c r="A99" t="s">
        <v>118</v>
      </c>
      <c r="B99">
        <v>76</v>
      </c>
      <c r="C99" t="s">
        <v>26</v>
      </c>
      <c r="D99" t="s">
        <v>27</v>
      </c>
      <c r="E99">
        <v>287.12</v>
      </c>
      <c r="F99">
        <v>0</v>
      </c>
      <c r="G99" t="s">
        <v>12</v>
      </c>
      <c r="H99" s="1">
        <v>42223</v>
      </c>
      <c r="I99" s="14">
        <v>3</v>
      </c>
      <c r="J99" t="s">
        <v>527</v>
      </c>
      <c r="K99" t="s">
        <v>527</v>
      </c>
      <c r="L99" t="s">
        <v>528</v>
      </c>
      <c r="M99" t="s">
        <v>528</v>
      </c>
      <c r="N99" t="s">
        <v>528</v>
      </c>
      <c r="O99" t="s">
        <v>527</v>
      </c>
    </row>
    <row r="100" spans="1:15" hidden="1" x14ac:dyDescent="0.2">
      <c r="A100" t="s">
        <v>119</v>
      </c>
      <c r="B100">
        <v>32</v>
      </c>
      <c r="C100" t="s">
        <v>26</v>
      </c>
      <c r="D100" t="s">
        <v>17</v>
      </c>
      <c r="F100">
        <v>2</v>
      </c>
      <c r="G100" t="s">
        <v>12</v>
      </c>
      <c r="H100" s="1">
        <v>44106</v>
      </c>
      <c r="I100">
        <v>4</v>
      </c>
      <c r="J100" t="s">
        <v>528</v>
      </c>
      <c r="K100" t="s">
        <v>527</v>
      </c>
      <c r="L100" t="s">
        <v>528</v>
      </c>
      <c r="M100" t="s">
        <v>528</v>
      </c>
      <c r="N100" t="s">
        <v>528</v>
      </c>
      <c r="O100" t="s">
        <v>527</v>
      </c>
    </row>
    <row r="101" spans="1:15" x14ac:dyDescent="0.2">
      <c r="A101" t="s">
        <v>120</v>
      </c>
      <c r="B101">
        <v>35</v>
      </c>
      <c r="C101" t="s">
        <v>26</v>
      </c>
      <c r="D101" t="s">
        <v>27</v>
      </c>
      <c r="E101">
        <v>202</v>
      </c>
      <c r="F101">
        <v>2</v>
      </c>
      <c r="G101" t="s">
        <v>12</v>
      </c>
      <c r="H101" s="1">
        <v>43758</v>
      </c>
      <c r="I101" s="14">
        <v>7</v>
      </c>
      <c r="J101" t="s">
        <v>527</v>
      </c>
      <c r="K101" t="s">
        <v>527</v>
      </c>
      <c r="L101" t="s">
        <v>528</v>
      </c>
      <c r="M101" t="s">
        <v>528</v>
      </c>
      <c r="N101" t="s">
        <v>528</v>
      </c>
      <c r="O101" t="s">
        <v>528</v>
      </c>
    </row>
    <row r="102" spans="1:15" x14ac:dyDescent="0.2">
      <c r="A102" t="s">
        <v>121</v>
      </c>
      <c r="B102">
        <v>47</v>
      </c>
      <c r="C102" t="s">
        <v>10</v>
      </c>
      <c r="D102" t="s">
        <v>27</v>
      </c>
      <c r="E102">
        <v>318.79000000000002</v>
      </c>
      <c r="F102">
        <v>4</v>
      </c>
      <c r="G102" t="s">
        <v>15</v>
      </c>
      <c r="H102" s="1">
        <v>43871</v>
      </c>
      <c r="I102" s="14">
        <v>8</v>
      </c>
      <c r="J102" t="s">
        <v>527</v>
      </c>
      <c r="K102" t="s">
        <v>527</v>
      </c>
      <c r="L102" t="s">
        <v>528</v>
      </c>
      <c r="M102" t="s">
        <v>528</v>
      </c>
      <c r="N102" t="s">
        <v>528</v>
      </c>
      <c r="O102" t="s">
        <v>527</v>
      </c>
    </row>
    <row r="103" spans="1:15" x14ac:dyDescent="0.2">
      <c r="A103" t="s">
        <v>122</v>
      </c>
      <c r="B103">
        <v>45</v>
      </c>
      <c r="C103" t="s">
        <v>26</v>
      </c>
      <c r="D103" t="s">
        <v>11</v>
      </c>
      <c r="E103">
        <v>194.3</v>
      </c>
      <c r="F103">
        <v>2</v>
      </c>
      <c r="G103" t="s">
        <v>36</v>
      </c>
      <c r="H103" s="1">
        <v>43911</v>
      </c>
      <c r="I103" s="14">
        <v>3</v>
      </c>
      <c r="J103" t="s">
        <v>528</v>
      </c>
      <c r="K103" t="s">
        <v>527</v>
      </c>
      <c r="L103" t="s">
        <v>528</v>
      </c>
      <c r="M103" t="s">
        <v>528</v>
      </c>
      <c r="N103" t="s">
        <v>528</v>
      </c>
      <c r="O103" t="s">
        <v>528</v>
      </c>
    </row>
    <row r="104" spans="1:15" x14ac:dyDescent="0.2">
      <c r="A104" t="s">
        <v>123</v>
      </c>
      <c r="B104">
        <v>52</v>
      </c>
      <c r="C104" t="s">
        <v>23</v>
      </c>
      <c r="D104" t="s">
        <v>11</v>
      </c>
      <c r="E104">
        <v>474.07</v>
      </c>
      <c r="F104">
        <v>2</v>
      </c>
      <c r="G104" t="s">
        <v>15</v>
      </c>
      <c r="H104" s="1">
        <v>42403</v>
      </c>
      <c r="I104" s="14">
        <v>4</v>
      </c>
      <c r="J104" t="s">
        <v>527</v>
      </c>
      <c r="K104" t="s">
        <v>527</v>
      </c>
      <c r="L104" t="s">
        <v>528</v>
      </c>
      <c r="M104" t="s">
        <v>528</v>
      </c>
      <c r="N104" t="s">
        <v>528</v>
      </c>
      <c r="O104" t="s">
        <v>528</v>
      </c>
    </row>
    <row r="105" spans="1:15" x14ac:dyDescent="0.2">
      <c r="A105" t="s">
        <v>124</v>
      </c>
      <c r="B105">
        <v>68</v>
      </c>
      <c r="C105" t="s">
        <v>23</v>
      </c>
      <c r="D105" t="s">
        <v>27</v>
      </c>
      <c r="E105">
        <v>123.01</v>
      </c>
      <c r="F105">
        <v>3</v>
      </c>
      <c r="G105" t="s">
        <v>15</v>
      </c>
      <c r="H105" s="1">
        <v>45298</v>
      </c>
      <c r="I105" s="14">
        <v>2</v>
      </c>
      <c r="J105" t="s">
        <v>528</v>
      </c>
      <c r="K105" t="s">
        <v>527</v>
      </c>
      <c r="L105" t="s">
        <v>528</v>
      </c>
      <c r="M105" t="s">
        <v>528</v>
      </c>
      <c r="N105" t="s">
        <v>528</v>
      </c>
      <c r="O105" t="s">
        <v>528</v>
      </c>
    </row>
    <row r="106" spans="1:15" x14ac:dyDescent="0.2">
      <c r="A106" t="s">
        <v>125</v>
      </c>
      <c r="B106">
        <v>21</v>
      </c>
      <c r="C106" t="s">
        <v>26</v>
      </c>
      <c r="D106" t="s">
        <v>17</v>
      </c>
      <c r="E106">
        <v>270.05</v>
      </c>
      <c r="F106">
        <v>3</v>
      </c>
      <c r="G106" t="s">
        <v>15</v>
      </c>
      <c r="H106" s="1">
        <v>44963</v>
      </c>
      <c r="I106" s="14">
        <v>6</v>
      </c>
      <c r="J106" t="s">
        <v>527</v>
      </c>
      <c r="K106" t="s">
        <v>527</v>
      </c>
      <c r="L106" t="s">
        <v>528</v>
      </c>
      <c r="M106" t="s">
        <v>528</v>
      </c>
      <c r="N106" t="s">
        <v>528</v>
      </c>
      <c r="O106" t="s">
        <v>527</v>
      </c>
    </row>
    <row r="107" spans="1:15" x14ac:dyDescent="0.2">
      <c r="A107" t="s">
        <v>126</v>
      </c>
      <c r="B107">
        <v>45</v>
      </c>
      <c r="C107" t="s">
        <v>26</v>
      </c>
      <c r="D107" t="s">
        <v>17</v>
      </c>
      <c r="E107">
        <v>265.91000000000003</v>
      </c>
      <c r="F107">
        <v>3</v>
      </c>
      <c r="G107" t="s">
        <v>20</v>
      </c>
      <c r="H107" s="1">
        <v>42197</v>
      </c>
      <c r="I107" s="14">
        <v>10</v>
      </c>
      <c r="J107" t="s">
        <v>527</v>
      </c>
      <c r="K107" t="s">
        <v>527</v>
      </c>
      <c r="L107" t="s">
        <v>528</v>
      </c>
      <c r="M107" t="s">
        <v>528</v>
      </c>
      <c r="N107" t="s">
        <v>528</v>
      </c>
      <c r="O107" t="s">
        <v>527</v>
      </c>
    </row>
    <row r="108" spans="1:15" x14ac:dyDescent="0.2">
      <c r="A108" t="s">
        <v>127</v>
      </c>
      <c r="B108">
        <v>68</v>
      </c>
      <c r="C108" t="s">
        <v>10</v>
      </c>
      <c r="D108" t="s">
        <v>27</v>
      </c>
      <c r="E108">
        <v>492.97</v>
      </c>
      <c r="F108">
        <v>0</v>
      </c>
      <c r="G108" t="s">
        <v>15</v>
      </c>
      <c r="H108" s="1">
        <v>42793</v>
      </c>
      <c r="I108" s="14">
        <v>9</v>
      </c>
      <c r="J108" t="s">
        <v>527</v>
      </c>
      <c r="K108" t="s">
        <v>527</v>
      </c>
      <c r="L108" t="s">
        <v>528</v>
      </c>
      <c r="M108" t="s">
        <v>528</v>
      </c>
      <c r="N108" t="s">
        <v>528</v>
      </c>
      <c r="O108" t="s">
        <v>527</v>
      </c>
    </row>
    <row r="109" spans="1:15" hidden="1" x14ac:dyDescent="0.2">
      <c r="A109" t="s">
        <v>128</v>
      </c>
      <c r="B109">
        <v>19</v>
      </c>
      <c r="C109" t="s">
        <v>14</v>
      </c>
      <c r="D109" t="s">
        <v>11</v>
      </c>
      <c r="F109">
        <v>2</v>
      </c>
      <c r="G109" t="s">
        <v>15</v>
      </c>
      <c r="H109" s="1">
        <v>42567</v>
      </c>
      <c r="I109">
        <v>8</v>
      </c>
      <c r="J109" t="s">
        <v>528</v>
      </c>
      <c r="K109" t="s">
        <v>527</v>
      </c>
      <c r="L109" t="s">
        <v>528</v>
      </c>
      <c r="M109" t="s">
        <v>528</v>
      </c>
      <c r="N109" t="s">
        <v>528</v>
      </c>
      <c r="O109" t="s">
        <v>527</v>
      </c>
    </row>
    <row r="110" spans="1:15" x14ac:dyDescent="0.2">
      <c r="A110" t="s">
        <v>129</v>
      </c>
      <c r="B110">
        <v>19</v>
      </c>
      <c r="C110" t="s">
        <v>23</v>
      </c>
      <c r="D110" t="s">
        <v>27</v>
      </c>
      <c r="E110">
        <v>418.88</v>
      </c>
      <c r="F110">
        <v>2</v>
      </c>
      <c r="G110" t="s">
        <v>20</v>
      </c>
      <c r="H110" s="1">
        <v>44512</v>
      </c>
      <c r="I110" s="14">
        <v>9</v>
      </c>
      <c r="J110" t="s">
        <v>527</v>
      </c>
      <c r="K110" t="s">
        <v>527</v>
      </c>
      <c r="L110" t="s">
        <v>528</v>
      </c>
      <c r="M110" t="s">
        <v>528</v>
      </c>
      <c r="N110" t="s">
        <v>528</v>
      </c>
      <c r="O110" t="s">
        <v>527</v>
      </c>
    </row>
    <row r="111" spans="1:15" x14ac:dyDescent="0.2">
      <c r="A111" t="s">
        <v>130</v>
      </c>
      <c r="B111">
        <v>22</v>
      </c>
      <c r="C111" t="s">
        <v>26</v>
      </c>
      <c r="D111" t="s">
        <v>11</v>
      </c>
      <c r="E111">
        <v>209.43</v>
      </c>
      <c r="F111">
        <v>1</v>
      </c>
      <c r="G111" t="s">
        <v>20</v>
      </c>
      <c r="H111" s="1">
        <v>44185</v>
      </c>
      <c r="I111" s="14">
        <v>2</v>
      </c>
      <c r="J111" t="s">
        <v>527</v>
      </c>
      <c r="K111" t="s">
        <v>527</v>
      </c>
      <c r="L111" t="s">
        <v>528</v>
      </c>
      <c r="M111" t="s">
        <v>528</v>
      </c>
      <c r="N111" t="s">
        <v>528</v>
      </c>
      <c r="O111" t="s">
        <v>527</v>
      </c>
    </row>
    <row r="112" spans="1:15" hidden="1" x14ac:dyDescent="0.2">
      <c r="A112" t="s">
        <v>131</v>
      </c>
      <c r="B112">
        <v>28</v>
      </c>
      <c r="C112" t="s">
        <v>23</v>
      </c>
      <c r="D112" t="s">
        <v>11</v>
      </c>
      <c r="F112">
        <v>2</v>
      </c>
      <c r="G112" t="s">
        <v>12</v>
      </c>
      <c r="H112" s="1">
        <v>42991</v>
      </c>
      <c r="I112">
        <v>6</v>
      </c>
      <c r="J112" t="s">
        <v>528</v>
      </c>
      <c r="K112" t="s">
        <v>527</v>
      </c>
      <c r="L112" t="s">
        <v>528</v>
      </c>
      <c r="M112" t="s">
        <v>528</v>
      </c>
      <c r="N112" t="s">
        <v>528</v>
      </c>
      <c r="O112" t="s">
        <v>528</v>
      </c>
    </row>
    <row r="113" spans="1:15" x14ac:dyDescent="0.2">
      <c r="A113" t="s">
        <v>132</v>
      </c>
      <c r="B113">
        <v>71</v>
      </c>
      <c r="C113" t="s">
        <v>26</v>
      </c>
      <c r="D113" t="s">
        <v>27</v>
      </c>
      <c r="E113">
        <v>254.19</v>
      </c>
      <c r="F113">
        <v>1</v>
      </c>
      <c r="G113" t="s">
        <v>36</v>
      </c>
      <c r="H113" s="1">
        <v>45472</v>
      </c>
      <c r="I113" s="14">
        <v>8</v>
      </c>
      <c r="J113" t="s">
        <v>527</v>
      </c>
      <c r="K113" t="s">
        <v>527</v>
      </c>
      <c r="L113" t="s">
        <v>528</v>
      </c>
      <c r="M113" t="s">
        <v>528</v>
      </c>
      <c r="N113" t="s">
        <v>528</v>
      </c>
      <c r="O113" t="s">
        <v>527</v>
      </c>
    </row>
    <row r="114" spans="1:15" hidden="1" x14ac:dyDescent="0.2">
      <c r="A114" t="s">
        <v>133</v>
      </c>
      <c r="B114">
        <v>54</v>
      </c>
      <c r="C114" t="s">
        <v>10</v>
      </c>
      <c r="D114" t="s">
        <v>11</v>
      </c>
      <c r="F114">
        <v>1</v>
      </c>
      <c r="G114" t="s">
        <v>15</v>
      </c>
      <c r="H114" s="1">
        <v>45309</v>
      </c>
      <c r="I114">
        <v>4</v>
      </c>
      <c r="J114" t="s">
        <v>527</v>
      </c>
      <c r="K114" t="s">
        <v>527</v>
      </c>
      <c r="L114" t="s">
        <v>528</v>
      </c>
      <c r="M114" t="s">
        <v>528</v>
      </c>
      <c r="N114" t="s">
        <v>528</v>
      </c>
      <c r="O114" t="s">
        <v>527</v>
      </c>
    </row>
    <row r="115" spans="1:15" x14ac:dyDescent="0.2">
      <c r="A115" t="s">
        <v>134</v>
      </c>
      <c r="B115">
        <v>63</v>
      </c>
      <c r="C115" t="s">
        <v>23</v>
      </c>
      <c r="D115" t="s">
        <v>27</v>
      </c>
      <c r="E115">
        <v>358.03</v>
      </c>
      <c r="F115">
        <v>1</v>
      </c>
      <c r="G115" t="s">
        <v>36</v>
      </c>
      <c r="H115" s="1">
        <v>43953</v>
      </c>
      <c r="I115" s="14">
        <v>5</v>
      </c>
      <c r="J115" t="s">
        <v>527</v>
      </c>
      <c r="K115" t="s">
        <v>527</v>
      </c>
      <c r="L115" t="s">
        <v>528</v>
      </c>
      <c r="M115" t="s">
        <v>528</v>
      </c>
      <c r="N115" t="s">
        <v>528</v>
      </c>
      <c r="O115" t="s">
        <v>528</v>
      </c>
    </row>
    <row r="116" spans="1:15" x14ac:dyDescent="0.2">
      <c r="A116" t="s">
        <v>135</v>
      </c>
      <c r="B116">
        <v>52</v>
      </c>
      <c r="C116" t="s">
        <v>26</v>
      </c>
      <c r="D116" t="s">
        <v>27</v>
      </c>
      <c r="E116">
        <v>385.13</v>
      </c>
      <c r="F116">
        <v>1</v>
      </c>
      <c r="G116" t="s">
        <v>12</v>
      </c>
      <c r="H116" s="1">
        <v>43736</v>
      </c>
      <c r="I116" s="14">
        <v>6</v>
      </c>
      <c r="J116" t="s">
        <v>527</v>
      </c>
      <c r="K116" t="s">
        <v>527</v>
      </c>
      <c r="L116" t="s">
        <v>528</v>
      </c>
      <c r="M116" t="s">
        <v>528</v>
      </c>
      <c r="N116" t="s">
        <v>528</v>
      </c>
      <c r="O116" t="s">
        <v>527</v>
      </c>
    </row>
    <row r="117" spans="1:15" x14ac:dyDescent="0.2">
      <c r="A117" t="s">
        <v>136</v>
      </c>
      <c r="B117">
        <v>20</v>
      </c>
      <c r="C117" t="s">
        <v>23</v>
      </c>
      <c r="D117" t="s">
        <v>27</v>
      </c>
      <c r="E117">
        <v>280.20999999999998</v>
      </c>
      <c r="F117">
        <v>1</v>
      </c>
      <c r="G117" t="s">
        <v>20</v>
      </c>
      <c r="H117" s="1">
        <v>42450</v>
      </c>
      <c r="I117" s="14">
        <v>1</v>
      </c>
      <c r="J117" t="s">
        <v>527</v>
      </c>
      <c r="K117" t="s">
        <v>527</v>
      </c>
      <c r="L117" t="s">
        <v>528</v>
      </c>
      <c r="M117" t="s">
        <v>528</v>
      </c>
      <c r="N117" t="s">
        <v>528</v>
      </c>
      <c r="O117" t="s">
        <v>527</v>
      </c>
    </row>
    <row r="118" spans="1:15" x14ac:dyDescent="0.2">
      <c r="A118" t="s">
        <v>137</v>
      </c>
      <c r="B118">
        <v>25</v>
      </c>
      <c r="C118" t="s">
        <v>23</v>
      </c>
      <c r="D118" t="s">
        <v>17</v>
      </c>
      <c r="E118">
        <v>221.15</v>
      </c>
      <c r="F118">
        <v>2</v>
      </c>
      <c r="G118" t="s">
        <v>20</v>
      </c>
      <c r="H118" s="1">
        <v>42140</v>
      </c>
      <c r="I118" s="14" t="s">
        <v>544</v>
      </c>
      <c r="J118" t="s">
        <v>527</v>
      </c>
      <c r="K118" t="s">
        <v>527</v>
      </c>
      <c r="L118" t="s">
        <v>528</v>
      </c>
      <c r="M118" t="s">
        <v>528</v>
      </c>
      <c r="N118" t="s">
        <v>528</v>
      </c>
      <c r="O118" t="s">
        <v>527</v>
      </c>
    </row>
    <row r="119" spans="1:15" x14ac:dyDescent="0.2">
      <c r="A119" t="s">
        <v>138</v>
      </c>
      <c r="B119">
        <v>69</v>
      </c>
      <c r="C119" t="s">
        <v>23</v>
      </c>
      <c r="D119" t="s">
        <v>27</v>
      </c>
      <c r="E119">
        <v>364.8</v>
      </c>
      <c r="F119">
        <v>0</v>
      </c>
      <c r="G119" t="s">
        <v>15</v>
      </c>
      <c r="H119" s="1">
        <v>45301</v>
      </c>
      <c r="I119" s="14">
        <v>8</v>
      </c>
      <c r="J119" t="s">
        <v>527</v>
      </c>
      <c r="K119" t="s">
        <v>527</v>
      </c>
      <c r="L119" t="s">
        <v>528</v>
      </c>
      <c r="M119" t="s">
        <v>528</v>
      </c>
      <c r="N119" t="s">
        <v>528</v>
      </c>
      <c r="O119" t="s">
        <v>527</v>
      </c>
    </row>
    <row r="120" spans="1:15" x14ac:dyDescent="0.2">
      <c r="A120" t="s">
        <v>139</v>
      </c>
      <c r="B120">
        <v>41</v>
      </c>
      <c r="C120" t="s">
        <v>544</v>
      </c>
      <c r="D120" t="s">
        <v>17</v>
      </c>
      <c r="E120">
        <v>445.03</v>
      </c>
      <c r="F120">
        <v>1</v>
      </c>
      <c r="G120" t="s">
        <v>15</v>
      </c>
      <c r="H120" s="1">
        <v>42510</v>
      </c>
      <c r="I120" s="14" t="s">
        <v>544</v>
      </c>
      <c r="J120" t="s">
        <v>527</v>
      </c>
      <c r="K120" t="s">
        <v>527</v>
      </c>
      <c r="L120" t="s">
        <v>528</v>
      </c>
      <c r="M120" t="s">
        <v>528</v>
      </c>
      <c r="N120" t="s">
        <v>528</v>
      </c>
      <c r="O120" t="s">
        <v>528</v>
      </c>
    </row>
    <row r="121" spans="1:15" x14ac:dyDescent="0.2">
      <c r="A121" t="s">
        <v>140</v>
      </c>
      <c r="B121">
        <v>21</v>
      </c>
      <c r="C121" t="s">
        <v>10</v>
      </c>
      <c r="D121" t="s">
        <v>17</v>
      </c>
      <c r="E121">
        <v>117.25</v>
      </c>
      <c r="F121">
        <v>4</v>
      </c>
      <c r="G121" t="s">
        <v>15</v>
      </c>
      <c r="H121" s="1">
        <v>44810</v>
      </c>
      <c r="I121" s="14">
        <v>9</v>
      </c>
      <c r="J121" t="s">
        <v>527</v>
      </c>
      <c r="K121" t="s">
        <v>527</v>
      </c>
      <c r="L121" t="s">
        <v>528</v>
      </c>
      <c r="M121" t="s">
        <v>528</v>
      </c>
      <c r="N121" t="s">
        <v>528</v>
      </c>
      <c r="O121" t="s">
        <v>527</v>
      </c>
    </row>
    <row r="122" spans="1:15" x14ac:dyDescent="0.2">
      <c r="A122" t="s">
        <v>141</v>
      </c>
      <c r="B122">
        <v>32</v>
      </c>
      <c r="C122" t="s">
        <v>26</v>
      </c>
      <c r="D122" t="s">
        <v>27</v>
      </c>
      <c r="E122">
        <v>234.25</v>
      </c>
      <c r="F122">
        <v>4</v>
      </c>
      <c r="G122" t="s">
        <v>36</v>
      </c>
      <c r="H122" s="1">
        <v>44027</v>
      </c>
      <c r="I122" s="14">
        <v>8</v>
      </c>
      <c r="J122" t="s">
        <v>527</v>
      </c>
      <c r="K122" t="s">
        <v>528</v>
      </c>
      <c r="L122" t="s">
        <v>527</v>
      </c>
      <c r="M122" t="s">
        <v>527</v>
      </c>
      <c r="N122" t="s">
        <v>528</v>
      </c>
      <c r="O122" t="s">
        <v>528</v>
      </c>
    </row>
    <row r="123" spans="1:15" x14ac:dyDescent="0.2">
      <c r="A123" t="s">
        <v>142</v>
      </c>
      <c r="B123">
        <v>21</v>
      </c>
      <c r="C123" t="s">
        <v>23</v>
      </c>
      <c r="D123" t="s">
        <v>11</v>
      </c>
      <c r="E123">
        <v>420.84</v>
      </c>
      <c r="F123">
        <v>3</v>
      </c>
      <c r="G123" t="s">
        <v>36</v>
      </c>
      <c r="H123" s="1">
        <v>43415</v>
      </c>
      <c r="I123" s="14">
        <v>8</v>
      </c>
      <c r="J123" t="s">
        <v>527</v>
      </c>
      <c r="K123" t="s">
        <v>527</v>
      </c>
      <c r="L123" t="s">
        <v>528</v>
      </c>
      <c r="M123" t="s">
        <v>528</v>
      </c>
      <c r="N123" t="s">
        <v>528</v>
      </c>
      <c r="O123" t="s">
        <v>528</v>
      </c>
    </row>
    <row r="124" spans="1:15" x14ac:dyDescent="0.2">
      <c r="A124" t="s">
        <v>143</v>
      </c>
      <c r="B124">
        <v>76</v>
      </c>
      <c r="C124" t="s">
        <v>10</v>
      </c>
      <c r="D124" t="s">
        <v>17</v>
      </c>
      <c r="E124">
        <v>91.02</v>
      </c>
      <c r="F124">
        <v>4</v>
      </c>
      <c r="G124" t="s">
        <v>20</v>
      </c>
      <c r="H124" s="1">
        <v>42768</v>
      </c>
      <c r="I124" s="14" t="s">
        <v>544</v>
      </c>
      <c r="J124" t="s">
        <v>527</v>
      </c>
      <c r="K124" t="s">
        <v>527</v>
      </c>
      <c r="L124" t="s">
        <v>528</v>
      </c>
      <c r="M124" t="s">
        <v>528</v>
      </c>
      <c r="N124" t="s">
        <v>528</v>
      </c>
      <c r="O124" t="s">
        <v>527</v>
      </c>
    </row>
    <row r="125" spans="1:15" x14ac:dyDescent="0.2">
      <c r="A125" t="s">
        <v>144</v>
      </c>
      <c r="B125">
        <v>78</v>
      </c>
      <c r="C125" t="s">
        <v>23</v>
      </c>
      <c r="D125" t="s">
        <v>11</v>
      </c>
      <c r="E125">
        <v>55.34</v>
      </c>
      <c r="F125">
        <v>1</v>
      </c>
      <c r="G125" t="s">
        <v>12</v>
      </c>
      <c r="H125" s="1">
        <v>44795</v>
      </c>
      <c r="I125" s="14">
        <v>8</v>
      </c>
      <c r="J125" t="s">
        <v>527</v>
      </c>
      <c r="K125" t="s">
        <v>527</v>
      </c>
      <c r="L125" t="s">
        <v>528</v>
      </c>
      <c r="M125" t="s">
        <v>528</v>
      </c>
      <c r="N125" t="s">
        <v>528</v>
      </c>
      <c r="O125" t="s">
        <v>528</v>
      </c>
    </row>
    <row r="126" spans="1:15" hidden="1" x14ac:dyDescent="0.2">
      <c r="A126" t="s">
        <v>145</v>
      </c>
      <c r="B126">
        <v>60</v>
      </c>
      <c r="C126" t="s">
        <v>26</v>
      </c>
      <c r="D126" t="s">
        <v>11</v>
      </c>
      <c r="F126">
        <v>2</v>
      </c>
      <c r="G126" t="s">
        <v>15</v>
      </c>
      <c r="H126" s="1">
        <v>42795</v>
      </c>
      <c r="I126">
        <v>3</v>
      </c>
      <c r="J126" t="s">
        <v>528</v>
      </c>
      <c r="K126" t="s">
        <v>527</v>
      </c>
      <c r="L126" t="s">
        <v>528</v>
      </c>
      <c r="M126" t="s">
        <v>528</v>
      </c>
      <c r="N126" t="s">
        <v>528</v>
      </c>
      <c r="O126" t="s">
        <v>527</v>
      </c>
    </row>
    <row r="127" spans="1:15" x14ac:dyDescent="0.2">
      <c r="A127" t="s">
        <v>146</v>
      </c>
      <c r="B127">
        <v>36</v>
      </c>
      <c r="C127" t="s">
        <v>23</v>
      </c>
      <c r="D127" t="s">
        <v>27</v>
      </c>
      <c r="E127">
        <v>450.83</v>
      </c>
      <c r="F127">
        <v>0</v>
      </c>
      <c r="G127" t="s">
        <v>15</v>
      </c>
      <c r="H127" s="1">
        <v>42573</v>
      </c>
      <c r="I127" s="14">
        <v>3</v>
      </c>
      <c r="J127" t="s">
        <v>527</v>
      </c>
      <c r="K127" t="s">
        <v>527</v>
      </c>
      <c r="L127" t="s">
        <v>528</v>
      </c>
      <c r="M127" t="s">
        <v>528</v>
      </c>
      <c r="N127" t="s">
        <v>528</v>
      </c>
      <c r="O127" t="s">
        <v>527</v>
      </c>
    </row>
    <row r="128" spans="1:15" x14ac:dyDescent="0.2">
      <c r="A128" t="s">
        <v>147</v>
      </c>
      <c r="B128">
        <v>43</v>
      </c>
      <c r="C128" t="s">
        <v>26</v>
      </c>
      <c r="D128" t="s">
        <v>11</v>
      </c>
      <c r="E128">
        <v>350.43</v>
      </c>
      <c r="F128">
        <v>3</v>
      </c>
      <c r="G128" t="s">
        <v>15</v>
      </c>
      <c r="H128" s="1">
        <v>44515</v>
      </c>
      <c r="I128" s="14">
        <v>3</v>
      </c>
      <c r="J128" t="s">
        <v>527</v>
      </c>
      <c r="K128" t="s">
        <v>527</v>
      </c>
      <c r="L128" t="s">
        <v>528</v>
      </c>
      <c r="M128" t="s">
        <v>528</v>
      </c>
      <c r="N128" t="s">
        <v>528</v>
      </c>
      <c r="O128" t="s">
        <v>527</v>
      </c>
    </row>
    <row r="129" spans="1:15" x14ac:dyDescent="0.2">
      <c r="A129" t="s">
        <v>148</v>
      </c>
      <c r="B129">
        <v>31</v>
      </c>
      <c r="C129" t="s">
        <v>23</v>
      </c>
      <c r="D129" t="s">
        <v>11</v>
      </c>
      <c r="E129">
        <v>248.28</v>
      </c>
      <c r="F129">
        <v>1</v>
      </c>
      <c r="G129" t="s">
        <v>12</v>
      </c>
      <c r="H129" s="1">
        <v>42091</v>
      </c>
      <c r="I129" s="14">
        <v>2</v>
      </c>
      <c r="J129" t="s">
        <v>527</v>
      </c>
      <c r="K129" t="s">
        <v>527</v>
      </c>
      <c r="L129" t="s">
        <v>528</v>
      </c>
      <c r="M129" t="s">
        <v>528</v>
      </c>
      <c r="N129" t="s">
        <v>528</v>
      </c>
      <c r="O129" t="s">
        <v>527</v>
      </c>
    </row>
    <row r="130" spans="1:15" x14ac:dyDescent="0.2">
      <c r="A130" t="s">
        <v>149</v>
      </c>
      <c r="B130">
        <v>23</v>
      </c>
      <c r="C130" t="s">
        <v>23</v>
      </c>
      <c r="D130" t="s">
        <v>27</v>
      </c>
      <c r="E130">
        <v>371.34</v>
      </c>
      <c r="F130">
        <v>2</v>
      </c>
      <c r="G130" t="s">
        <v>20</v>
      </c>
      <c r="H130" s="1">
        <v>43400</v>
      </c>
      <c r="I130" s="14">
        <v>2</v>
      </c>
      <c r="J130" t="s">
        <v>527</v>
      </c>
      <c r="K130" t="s">
        <v>527</v>
      </c>
      <c r="L130" t="s">
        <v>528</v>
      </c>
      <c r="M130" t="s">
        <v>528</v>
      </c>
      <c r="N130" t="s">
        <v>528</v>
      </c>
      <c r="O130" t="s">
        <v>527</v>
      </c>
    </row>
    <row r="131" spans="1:15" x14ac:dyDescent="0.2">
      <c r="A131" t="s">
        <v>150</v>
      </c>
      <c r="B131">
        <v>46</v>
      </c>
      <c r="C131" t="s">
        <v>26</v>
      </c>
      <c r="D131" t="s">
        <v>27</v>
      </c>
      <c r="E131">
        <v>421.7</v>
      </c>
      <c r="F131">
        <v>3</v>
      </c>
      <c r="G131" t="s">
        <v>36</v>
      </c>
      <c r="H131" s="1">
        <v>42129</v>
      </c>
      <c r="I131" s="14">
        <v>6</v>
      </c>
      <c r="J131" t="s">
        <v>527</v>
      </c>
      <c r="K131" t="s">
        <v>527</v>
      </c>
      <c r="L131" t="s">
        <v>528</v>
      </c>
      <c r="M131" t="s">
        <v>528</v>
      </c>
      <c r="N131" t="s">
        <v>528</v>
      </c>
      <c r="O131" t="s">
        <v>527</v>
      </c>
    </row>
    <row r="132" spans="1:15" x14ac:dyDescent="0.2">
      <c r="A132" t="s">
        <v>151</v>
      </c>
      <c r="B132">
        <v>75</v>
      </c>
      <c r="C132" t="s">
        <v>10</v>
      </c>
      <c r="D132" t="s">
        <v>27</v>
      </c>
      <c r="E132">
        <v>262.23</v>
      </c>
      <c r="F132">
        <v>2</v>
      </c>
      <c r="G132" t="s">
        <v>12</v>
      </c>
      <c r="H132" s="1">
        <v>44706</v>
      </c>
      <c r="I132" s="14">
        <v>5</v>
      </c>
      <c r="J132" t="s">
        <v>527</v>
      </c>
      <c r="K132" t="s">
        <v>527</v>
      </c>
      <c r="L132" t="s">
        <v>528</v>
      </c>
      <c r="M132" t="s">
        <v>528</v>
      </c>
      <c r="N132" t="s">
        <v>528</v>
      </c>
      <c r="O132" t="s">
        <v>527</v>
      </c>
    </row>
    <row r="133" spans="1:15" hidden="1" x14ac:dyDescent="0.2">
      <c r="A133" t="s">
        <v>152</v>
      </c>
      <c r="B133">
        <v>29</v>
      </c>
      <c r="C133" t="s">
        <v>26</v>
      </c>
      <c r="D133" t="s">
        <v>17</v>
      </c>
      <c r="F133">
        <v>3</v>
      </c>
      <c r="G133" t="s">
        <v>15</v>
      </c>
      <c r="H133" s="1">
        <v>44290</v>
      </c>
      <c r="I133">
        <v>8</v>
      </c>
      <c r="J133" t="s">
        <v>527</v>
      </c>
      <c r="K133" t="s">
        <v>527</v>
      </c>
      <c r="L133" t="s">
        <v>528</v>
      </c>
      <c r="M133" t="s">
        <v>528</v>
      </c>
      <c r="N133" t="s">
        <v>528</v>
      </c>
      <c r="O133" t="s">
        <v>527</v>
      </c>
    </row>
    <row r="134" spans="1:15" x14ac:dyDescent="0.2">
      <c r="A134" t="s">
        <v>153</v>
      </c>
      <c r="B134">
        <v>37</v>
      </c>
      <c r="C134" t="s">
        <v>26</v>
      </c>
      <c r="D134" t="s">
        <v>27</v>
      </c>
      <c r="E134">
        <v>111.29</v>
      </c>
      <c r="F134">
        <v>3</v>
      </c>
      <c r="G134" t="s">
        <v>15</v>
      </c>
      <c r="H134" s="1">
        <v>43387</v>
      </c>
      <c r="I134" s="14">
        <v>4</v>
      </c>
      <c r="J134" t="s">
        <v>527</v>
      </c>
      <c r="K134" t="s">
        <v>528</v>
      </c>
      <c r="L134" t="s">
        <v>527</v>
      </c>
      <c r="M134" t="s">
        <v>528</v>
      </c>
      <c r="N134" t="s">
        <v>528</v>
      </c>
      <c r="O134" t="s">
        <v>527</v>
      </c>
    </row>
    <row r="135" spans="1:15" x14ac:dyDescent="0.2">
      <c r="A135" t="s">
        <v>154</v>
      </c>
      <c r="B135">
        <v>65</v>
      </c>
      <c r="C135" t="s">
        <v>26</v>
      </c>
      <c r="D135" t="s">
        <v>17</v>
      </c>
      <c r="E135">
        <v>357.92</v>
      </c>
      <c r="F135">
        <v>0</v>
      </c>
      <c r="G135" t="s">
        <v>36</v>
      </c>
      <c r="H135" s="1">
        <v>45202</v>
      </c>
      <c r="I135" s="14" t="s">
        <v>544</v>
      </c>
      <c r="J135" t="s">
        <v>527</v>
      </c>
      <c r="K135" t="s">
        <v>527</v>
      </c>
      <c r="L135" t="s">
        <v>528</v>
      </c>
      <c r="M135" t="s">
        <v>528</v>
      </c>
      <c r="N135" t="s">
        <v>528</v>
      </c>
      <c r="O135" t="s">
        <v>527</v>
      </c>
    </row>
    <row r="136" spans="1:15" x14ac:dyDescent="0.2">
      <c r="A136" t="s">
        <v>155</v>
      </c>
      <c r="B136">
        <v>50</v>
      </c>
      <c r="C136" t="s">
        <v>10</v>
      </c>
      <c r="D136" t="s">
        <v>27</v>
      </c>
      <c r="E136">
        <v>233.89</v>
      </c>
      <c r="F136">
        <v>3</v>
      </c>
      <c r="G136" t="s">
        <v>12</v>
      </c>
      <c r="H136" s="1">
        <v>44455</v>
      </c>
      <c r="I136" s="14">
        <v>4</v>
      </c>
      <c r="J136" t="s">
        <v>527</v>
      </c>
      <c r="K136" t="s">
        <v>527</v>
      </c>
      <c r="L136" t="s">
        <v>528</v>
      </c>
      <c r="M136" t="s">
        <v>528</v>
      </c>
      <c r="N136" t="s">
        <v>528</v>
      </c>
      <c r="O136" t="s">
        <v>527</v>
      </c>
    </row>
    <row r="137" spans="1:15" x14ac:dyDescent="0.2">
      <c r="A137" t="s">
        <v>156</v>
      </c>
      <c r="B137">
        <v>47</v>
      </c>
      <c r="C137" t="s">
        <v>26</v>
      </c>
      <c r="D137" t="s">
        <v>11</v>
      </c>
      <c r="E137">
        <v>269.79000000000002</v>
      </c>
      <c r="F137">
        <v>0</v>
      </c>
      <c r="G137" t="s">
        <v>12</v>
      </c>
      <c r="H137" s="1">
        <v>42674</v>
      </c>
      <c r="I137" s="14">
        <v>3</v>
      </c>
      <c r="J137" t="s">
        <v>527</v>
      </c>
      <c r="K137" t="s">
        <v>527</v>
      </c>
      <c r="L137" t="s">
        <v>528</v>
      </c>
      <c r="M137" t="s">
        <v>528</v>
      </c>
      <c r="N137" t="s">
        <v>528</v>
      </c>
      <c r="O137" t="s">
        <v>528</v>
      </c>
    </row>
    <row r="138" spans="1:15" x14ac:dyDescent="0.2">
      <c r="A138" t="s">
        <v>157</v>
      </c>
      <c r="B138">
        <v>36</v>
      </c>
      <c r="C138" t="s">
        <v>10</v>
      </c>
      <c r="D138" t="s">
        <v>17</v>
      </c>
      <c r="E138">
        <v>406.43</v>
      </c>
      <c r="F138">
        <v>2</v>
      </c>
      <c r="G138" t="s">
        <v>36</v>
      </c>
      <c r="H138" s="1">
        <v>43277</v>
      </c>
      <c r="I138" s="14">
        <v>7</v>
      </c>
      <c r="J138" t="s">
        <v>527</v>
      </c>
      <c r="K138" t="s">
        <v>527</v>
      </c>
      <c r="L138" t="s">
        <v>528</v>
      </c>
      <c r="M138" t="s">
        <v>528</v>
      </c>
      <c r="N138" t="s">
        <v>528</v>
      </c>
      <c r="O138" t="s">
        <v>527</v>
      </c>
    </row>
    <row r="139" spans="1:15" x14ac:dyDescent="0.2">
      <c r="A139" t="s">
        <v>158</v>
      </c>
      <c r="B139">
        <v>71</v>
      </c>
      <c r="C139" t="s">
        <v>26</v>
      </c>
      <c r="D139" t="s">
        <v>27</v>
      </c>
      <c r="E139">
        <v>141.88999999999999</v>
      </c>
      <c r="F139">
        <v>1</v>
      </c>
      <c r="G139" t="s">
        <v>15</v>
      </c>
      <c r="H139" s="1">
        <v>44675</v>
      </c>
      <c r="I139" s="14">
        <v>9</v>
      </c>
      <c r="J139" t="s">
        <v>527</v>
      </c>
      <c r="K139" t="s">
        <v>527</v>
      </c>
      <c r="L139" t="s">
        <v>528</v>
      </c>
      <c r="M139" t="s">
        <v>528</v>
      </c>
      <c r="N139" t="s">
        <v>528</v>
      </c>
      <c r="O139" t="s">
        <v>527</v>
      </c>
    </row>
    <row r="140" spans="1:15" x14ac:dyDescent="0.2">
      <c r="A140" t="s">
        <v>159</v>
      </c>
      <c r="B140">
        <v>56</v>
      </c>
      <c r="C140" t="s">
        <v>23</v>
      </c>
      <c r="D140" t="s">
        <v>17</v>
      </c>
      <c r="E140">
        <v>459.12</v>
      </c>
      <c r="F140">
        <v>2</v>
      </c>
      <c r="G140" t="s">
        <v>36</v>
      </c>
      <c r="H140" s="1">
        <v>43446</v>
      </c>
      <c r="I140" s="14">
        <v>7</v>
      </c>
      <c r="J140" t="s">
        <v>527</v>
      </c>
      <c r="K140" t="s">
        <v>527</v>
      </c>
      <c r="L140" t="s">
        <v>528</v>
      </c>
      <c r="M140" t="s">
        <v>528</v>
      </c>
      <c r="N140" t="s">
        <v>528</v>
      </c>
      <c r="O140" t="s">
        <v>528</v>
      </c>
    </row>
    <row r="141" spans="1:15" x14ac:dyDescent="0.2">
      <c r="A141" t="s">
        <v>160</v>
      </c>
      <c r="B141">
        <v>42</v>
      </c>
      <c r="C141" t="s">
        <v>26</v>
      </c>
      <c r="D141" t="s">
        <v>17</v>
      </c>
      <c r="E141">
        <v>137.19</v>
      </c>
      <c r="F141">
        <v>1</v>
      </c>
      <c r="G141" t="s">
        <v>20</v>
      </c>
      <c r="H141" s="1">
        <v>42357</v>
      </c>
      <c r="I141" s="14">
        <v>10</v>
      </c>
      <c r="J141" t="s">
        <v>528</v>
      </c>
      <c r="K141" t="s">
        <v>527</v>
      </c>
      <c r="L141" t="s">
        <v>528</v>
      </c>
      <c r="M141" t="s">
        <v>528</v>
      </c>
      <c r="N141" t="s">
        <v>528</v>
      </c>
      <c r="O141" t="s">
        <v>528</v>
      </c>
    </row>
    <row r="142" spans="1:15" x14ac:dyDescent="0.2">
      <c r="A142" t="s">
        <v>161</v>
      </c>
      <c r="B142">
        <v>63</v>
      </c>
      <c r="C142" t="s">
        <v>10</v>
      </c>
      <c r="D142" t="s">
        <v>11</v>
      </c>
      <c r="E142">
        <v>218.89</v>
      </c>
      <c r="F142">
        <v>2</v>
      </c>
      <c r="G142" t="s">
        <v>15</v>
      </c>
      <c r="H142" s="1">
        <v>44537</v>
      </c>
      <c r="I142" s="14">
        <v>2</v>
      </c>
      <c r="J142" t="s">
        <v>527</v>
      </c>
      <c r="K142" t="s">
        <v>527</v>
      </c>
      <c r="L142" t="s">
        <v>528</v>
      </c>
      <c r="M142" t="s">
        <v>528</v>
      </c>
      <c r="N142" t="s">
        <v>528</v>
      </c>
      <c r="O142" t="s">
        <v>527</v>
      </c>
    </row>
    <row r="143" spans="1:15" x14ac:dyDescent="0.2">
      <c r="A143" t="s">
        <v>162</v>
      </c>
      <c r="B143">
        <v>55</v>
      </c>
      <c r="C143" t="s">
        <v>544</v>
      </c>
      <c r="D143" t="s">
        <v>27</v>
      </c>
      <c r="E143">
        <v>143.81</v>
      </c>
      <c r="F143">
        <v>0</v>
      </c>
      <c r="G143" t="s">
        <v>12</v>
      </c>
      <c r="H143" s="1">
        <v>45265</v>
      </c>
      <c r="I143" s="14">
        <v>7</v>
      </c>
      <c r="J143" t="s">
        <v>528</v>
      </c>
      <c r="K143" t="s">
        <v>527</v>
      </c>
      <c r="L143" t="s">
        <v>528</v>
      </c>
      <c r="M143" t="s">
        <v>528</v>
      </c>
      <c r="N143" t="s">
        <v>528</v>
      </c>
      <c r="O143" t="s">
        <v>528</v>
      </c>
    </row>
    <row r="144" spans="1:15" x14ac:dyDescent="0.2">
      <c r="A144" t="s">
        <v>163</v>
      </c>
      <c r="B144">
        <v>38</v>
      </c>
      <c r="C144" t="s">
        <v>10</v>
      </c>
      <c r="D144" t="s">
        <v>27</v>
      </c>
      <c r="E144">
        <v>472.14</v>
      </c>
      <c r="F144">
        <v>2</v>
      </c>
      <c r="G144" t="s">
        <v>36</v>
      </c>
      <c r="H144" s="1">
        <v>42453</v>
      </c>
      <c r="I144" s="14" t="s">
        <v>544</v>
      </c>
      <c r="J144" t="s">
        <v>527</v>
      </c>
      <c r="K144" t="s">
        <v>527</v>
      </c>
      <c r="L144" t="s">
        <v>528</v>
      </c>
      <c r="M144" t="s">
        <v>528</v>
      </c>
      <c r="N144" t="s">
        <v>528</v>
      </c>
      <c r="O144" t="s">
        <v>527</v>
      </c>
    </row>
    <row r="145" spans="1:15" x14ac:dyDescent="0.2">
      <c r="A145" t="s">
        <v>164</v>
      </c>
      <c r="B145">
        <v>26</v>
      </c>
      <c r="C145" t="s">
        <v>26</v>
      </c>
      <c r="D145" t="s">
        <v>11</v>
      </c>
      <c r="E145">
        <v>322.27999999999997</v>
      </c>
      <c r="F145">
        <v>0</v>
      </c>
      <c r="G145" t="s">
        <v>15</v>
      </c>
      <c r="H145" s="1">
        <v>42493</v>
      </c>
      <c r="I145" s="14">
        <v>6</v>
      </c>
      <c r="J145" t="s">
        <v>527</v>
      </c>
      <c r="K145" t="s">
        <v>527</v>
      </c>
      <c r="L145" t="s">
        <v>528</v>
      </c>
      <c r="M145" t="s">
        <v>528</v>
      </c>
      <c r="N145" t="s">
        <v>528</v>
      </c>
      <c r="O145" t="s">
        <v>527</v>
      </c>
    </row>
    <row r="146" spans="1:15" x14ac:dyDescent="0.2">
      <c r="A146" t="s">
        <v>165</v>
      </c>
      <c r="B146">
        <v>33</v>
      </c>
      <c r="C146" t="s">
        <v>10</v>
      </c>
      <c r="D146" t="s">
        <v>17</v>
      </c>
      <c r="E146">
        <v>440.66</v>
      </c>
      <c r="F146">
        <v>2</v>
      </c>
      <c r="G146" t="s">
        <v>12</v>
      </c>
      <c r="H146" s="1">
        <v>42339</v>
      </c>
      <c r="I146" s="14">
        <v>6</v>
      </c>
      <c r="J146" t="s">
        <v>527</v>
      </c>
      <c r="K146" t="s">
        <v>527</v>
      </c>
      <c r="L146" t="s">
        <v>528</v>
      </c>
      <c r="M146" t="s">
        <v>528</v>
      </c>
      <c r="N146" t="s">
        <v>528</v>
      </c>
      <c r="O146" t="s">
        <v>527</v>
      </c>
    </row>
    <row r="147" spans="1:15" x14ac:dyDescent="0.2">
      <c r="A147" t="s">
        <v>166</v>
      </c>
      <c r="B147">
        <v>20</v>
      </c>
      <c r="C147" t="s">
        <v>10</v>
      </c>
      <c r="D147" t="s">
        <v>17</v>
      </c>
      <c r="E147">
        <v>151.11000000000001</v>
      </c>
      <c r="F147">
        <v>4</v>
      </c>
      <c r="G147" t="s">
        <v>20</v>
      </c>
      <c r="H147" s="1">
        <v>44227</v>
      </c>
      <c r="I147" s="14">
        <v>10</v>
      </c>
      <c r="J147" t="s">
        <v>528</v>
      </c>
      <c r="K147" t="s">
        <v>527</v>
      </c>
      <c r="L147" t="s">
        <v>528</v>
      </c>
      <c r="M147" t="s">
        <v>528</v>
      </c>
      <c r="N147" t="s">
        <v>528</v>
      </c>
      <c r="O147" t="s">
        <v>527</v>
      </c>
    </row>
    <row r="148" spans="1:15" x14ac:dyDescent="0.2">
      <c r="A148" t="s">
        <v>167</v>
      </c>
      <c r="B148">
        <v>74</v>
      </c>
      <c r="C148" t="s">
        <v>23</v>
      </c>
      <c r="D148" t="s">
        <v>11</v>
      </c>
      <c r="E148">
        <v>399.16</v>
      </c>
      <c r="F148">
        <v>1</v>
      </c>
      <c r="G148" t="s">
        <v>20</v>
      </c>
      <c r="H148" s="1">
        <v>44022</v>
      </c>
      <c r="I148" s="14">
        <v>7</v>
      </c>
      <c r="J148" t="s">
        <v>527</v>
      </c>
      <c r="K148" t="s">
        <v>527</v>
      </c>
      <c r="L148" t="s">
        <v>528</v>
      </c>
      <c r="M148" t="s">
        <v>528</v>
      </c>
      <c r="N148" t="s">
        <v>528</v>
      </c>
      <c r="O148" t="s">
        <v>527</v>
      </c>
    </row>
    <row r="149" spans="1:15" x14ac:dyDescent="0.2">
      <c r="A149" t="s">
        <v>168</v>
      </c>
      <c r="B149">
        <v>40</v>
      </c>
      <c r="C149" t="s">
        <v>10</v>
      </c>
      <c r="D149" t="s">
        <v>17</v>
      </c>
      <c r="E149">
        <v>93.72</v>
      </c>
      <c r="F149">
        <v>1</v>
      </c>
      <c r="G149" t="s">
        <v>12</v>
      </c>
      <c r="H149" s="1">
        <v>43669</v>
      </c>
      <c r="I149" s="14">
        <v>8</v>
      </c>
      <c r="J149" t="s">
        <v>527</v>
      </c>
      <c r="K149" t="s">
        <v>527</v>
      </c>
      <c r="L149" t="s">
        <v>528</v>
      </c>
      <c r="M149" t="s">
        <v>528</v>
      </c>
      <c r="N149" t="s">
        <v>528</v>
      </c>
      <c r="O149" t="s">
        <v>527</v>
      </c>
    </row>
    <row r="150" spans="1:15" x14ac:dyDescent="0.2">
      <c r="A150" t="s">
        <v>169</v>
      </c>
      <c r="B150">
        <v>22</v>
      </c>
      <c r="C150" t="s">
        <v>26</v>
      </c>
      <c r="D150" t="s">
        <v>11</v>
      </c>
      <c r="E150">
        <v>418.01</v>
      </c>
      <c r="F150">
        <v>4</v>
      </c>
      <c r="G150" t="s">
        <v>20</v>
      </c>
      <c r="H150" s="1">
        <v>42388</v>
      </c>
      <c r="I150" s="14">
        <v>3</v>
      </c>
      <c r="J150" t="s">
        <v>527</v>
      </c>
      <c r="K150" t="s">
        <v>527</v>
      </c>
      <c r="L150" t="s">
        <v>528</v>
      </c>
      <c r="M150" t="s">
        <v>528</v>
      </c>
      <c r="N150" t="s">
        <v>528</v>
      </c>
      <c r="O150" t="s">
        <v>527</v>
      </c>
    </row>
    <row r="151" spans="1:15" x14ac:dyDescent="0.2">
      <c r="A151" t="s">
        <v>170</v>
      </c>
      <c r="B151">
        <v>47</v>
      </c>
      <c r="C151" t="s">
        <v>10</v>
      </c>
      <c r="D151" t="s">
        <v>17</v>
      </c>
      <c r="E151">
        <v>161.11000000000001</v>
      </c>
      <c r="F151">
        <v>3</v>
      </c>
      <c r="G151" t="s">
        <v>36</v>
      </c>
      <c r="H151" s="1">
        <v>43615</v>
      </c>
      <c r="I151" s="14">
        <v>4</v>
      </c>
      <c r="J151" t="s">
        <v>527</v>
      </c>
      <c r="K151" t="s">
        <v>527</v>
      </c>
      <c r="L151" t="s">
        <v>528</v>
      </c>
      <c r="M151" t="s">
        <v>528</v>
      </c>
      <c r="N151" t="s">
        <v>528</v>
      </c>
      <c r="O151" t="s">
        <v>527</v>
      </c>
    </row>
    <row r="152" spans="1:15" x14ac:dyDescent="0.2">
      <c r="A152" t="s">
        <v>171</v>
      </c>
      <c r="B152">
        <v>40</v>
      </c>
      <c r="C152" t="s">
        <v>23</v>
      </c>
      <c r="D152" t="s">
        <v>17</v>
      </c>
      <c r="E152">
        <v>107.93</v>
      </c>
      <c r="F152">
        <v>3</v>
      </c>
      <c r="G152" t="s">
        <v>36</v>
      </c>
      <c r="H152" s="1">
        <v>45266</v>
      </c>
      <c r="I152" s="14">
        <v>3</v>
      </c>
      <c r="J152" t="s">
        <v>527</v>
      </c>
      <c r="K152" t="s">
        <v>527</v>
      </c>
      <c r="L152" t="s">
        <v>528</v>
      </c>
      <c r="M152" t="s">
        <v>528</v>
      </c>
      <c r="N152" t="s">
        <v>528</v>
      </c>
      <c r="O152" t="s">
        <v>527</v>
      </c>
    </row>
    <row r="153" spans="1:15" x14ac:dyDescent="0.2">
      <c r="A153" t="s">
        <v>172</v>
      </c>
      <c r="B153">
        <v>58</v>
      </c>
      <c r="C153" t="s">
        <v>26</v>
      </c>
      <c r="D153" t="s">
        <v>11</v>
      </c>
      <c r="E153">
        <v>362.58</v>
      </c>
      <c r="F153">
        <v>3</v>
      </c>
      <c r="G153" t="s">
        <v>15</v>
      </c>
      <c r="H153" s="1">
        <v>44100</v>
      </c>
      <c r="I153" s="14">
        <v>2</v>
      </c>
      <c r="J153" t="s">
        <v>527</v>
      </c>
      <c r="K153" t="s">
        <v>527</v>
      </c>
      <c r="L153" t="s">
        <v>528</v>
      </c>
      <c r="M153" t="s">
        <v>528</v>
      </c>
      <c r="N153" t="s">
        <v>528</v>
      </c>
      <c r="O153" t="s">
        <v>528</v>
      </c>
    </row>
    <row r="154" spans="1:15" x14ac:dyDescent="0.2">
      <c r="A154" t="s">
        <v>173</v>
      </c>
      <c r="B154">
        <v>38</v>
      </c>
      <c r="C154" t="s">
        <v>23</v>
      </c>
      <c r="D154" t="s">
        <v>11</v>
      </c>
      <c r="E154">
        <v>380.55</v>
      </c>
      <c r="F154">
        <v>1</v>
      </c>
      <c r="G154" t="s">
        <v>20</v>
      </c>
      <c r="H154" s="1">
        <v>43668</v>
      </c>
      <c r="I154" s="14">
        <v>6</v>
      </c>
      <c r="J154" t="s">
        <v>527</v>
      </c>
      <c r="K154" t="s">
        <v>527</v>
      </c>
      <c r="L154" t="s">
        <v>528</v>
      </c>
      <c r="M154" t="s">
        <v>528</v>
      </c>
      <c r="N154" t="s">
        <v>528</v>
      </c>
      <c r="O154" t="s">
        <v>527</v>
      </c>
    </row>
    <row r="155" spans="1:15" x14ac:dyDescent="0.2">
      <c r="A155" t="s">
        <v>174</v>
      </c>
      <c r="B155">
        <v>37</v>
      </c>
      <c r="C155" t="s">
        <v>26</v>
      </c>
      <c r="D155" t="s">
        <v>11</v>
      </c>
      <c r="E155">
        <v>250.07</v>
      </c>
      <c r="F155">
        <v>2</v>
      </c>
      <c r="G155" t="s">
        <v>20</v>
      </c>
      <c r="H155" s="1">
        <v>44707</v>
      </c>
      <c r="I155" s="14">
        <v>1</v>
      </c>
      <c r="J155" t="s">
        <v>527</v>
      </c>
      <c r="K155" t="s">
        <v>527</v>
      </c>
      <c r="L155" t="s">
        <v>528</v>
      </c>
      <c r="M155" t="s">
        <v>528</v>
      </c>
      <c r="N155" t="s">
        <v>528</v>
      </c>
      <c r="O155" t="s">
        <v>527</v>
      </c>
    </row>
    <row r="156" spans="1:15" x14ac:dyDescent="0.2">
      <c r="A156" t="s">
        <v>175</v>
      </c>
      <c r="B156">
        <v>49</v>
      </c>
      <c r="C156" t="s">
        <v>10</v>
      </c>
      <c r="D156" t="s">
        <v>27</v>
      </c>
      <c r="E156">
        <v>79.16</v>
      </c>
      <c r="F156">
        <v>4</v>
      </c>
      <c r="G156" t="s">
        <v>12</v>
      </c>
      <c r="H156" s="1">
        <v>44295</v>
      </c>
      <c r="I156" s="14">
        <v>9</v>
      </c>
      <c r="J156" t="s">
        <v>528</v>
      </c>
      <c r="K156" t="s">
        <v>527</v>
      </c>
      <c r="L156" t="s">
        <v>528</v>
      </c>
      <c r="M156" t="s">
        <v>528</v>
      </c>
      <c r="N156" t="s">
        <v>528</v>
      </c>
      <c r="O156" t="s">
        <v>527</v>
      </c>
    </row>
    <row r="157" spans="1:15" x14ac:dyDescent="0.2">
      <c r="A157" t="s">
        <v>176</v>
      </c>
      <c r="B157">
        <v>48</v>
      </c>
      <c r="C157" t="s">
        <v>26</v>
      </c>
      <c r="D157" t="s">
        <v>11</v>
      </c>
      <c r="E157">
        <v>286.33999999999997</v>
      </c>
      <c r="F157">
        <v>2</v>
      </c>
      <c r="G157" t="s">
        <v>12</v>
      </c>
      <c r="H157" s="1">
        <v>43326</v>
      </c>
      <c r="I157" s="14">
        <v>10</v>
      </c>
      <c r="J157" t="s">
        <v>527</v>
      </c>
      <c r="K157" t="s">
        <v>527</v>
      </c>
      <c r="L157" t="s">
        <v>528</v>
      </c>
      <c r="M157" t="s">
        <v>528</v>
      </c>
      <c r="N157" t="s">
        <v>528</v>
      </c>
      <c r="O157" t="s">
        <v>527</v>
      </c>
    </row>
    <row r="158" spans="1:15" x14ac:dyDescent="0.2">
      <c r="A158" t="s">
        <v>177</v>
      </c>
      <c r="B158">
        <v>51</v>
      </c>
      <c r="C158" t="s">
        <v>26</v>
      </c>
      <c r="D158" t="s">
        <v>11</v>
      </c>
      <c r="E158">
        <v>51.79</v>
      </c>
      <c r="F158">
        <v>1</v>
      </c>
      <c r="G158" t="s">
        <v>15</v>
      </c>
      <c r="H158" s="1">
        <v>42178</v>
      </c>
      <c r="I158" s="14">
        <v>2</v>
      </c>
      <c r="J158" t="s">
        <v>528</v>
      </c>
      <c r="K158" t="s">
        <v>528</v>
      </c>
      <c r="L158" t="s">
        <v>527</v>
      </c>
      <c r="M158" t="s">
        <v>528</v>
      </c>
      <c r="N158" t="s">
        <v>528</v>
      </c>
      <c r="O158" t="s">
        <v>527</v>
      </c>
    </row>
    <row r="159" spans="1:15" x14ac:dyDescent="0.2">
      <c r="A159" t="s">
        <v>178</v>
      </c>
      <c r="B159">
        <v>77</v>
      </c>
      <c r="C159" t="s">
        <v>26</v>
      </c>
      <c r="D159" t="s">
        <v>11</v>
      </c>
      <c r="E159">
        <v>423.19</v>
      </c>
      <c r="F159">
        <v>4</v>
      </c>
      <c r="G159" t="s">
        <v>15</v>
      </c>
      <c r="H159" s="1">
        <v>42848</v>
      </c>
      <c r="I159" s="14">
        <v>6</v>
      </c>
      <c r="J159" t="s">
        <v>527</v>
      </c>
      <c r="K159" t="s">
        <v>527</v>
      </c>
      <c r="L159" t="s">
        <v>528</v>
      </c>
      <c r="M159" t="s">
        <v>528</v>
      </c>
      <c r="N159" t="s">
        <v>528</v>
      </c>
      <c r="O159" t="s">
        <v>527</v>
      </c>
    </row>
    <row r="160" spans="1:15" x14ac:dyDescent="0.2">
      <c r="A160" t="s">
        <v>179</v>
      </c>
      <c r="B160">
        <v>31</v>
      </c>
      <c r="C160" t="s">
        <v>10</v>
      </c>
      <c r="D160" t="s">
        <v>11</v>
      </c>
      <c r="E160">
        <v>367.16</v>
      </c>
      <c r="F160">
        <v>0</v>
      </c>
      <c r="G160" t="s">
        <v>20</v>
      </c>
      <c r="H160" s="1">
        <v>43010</v>
      </c>
      <c r="I160" s="14">
        <v>9</v>
      </c>
      <c r="J160" t="s">
        <v>527</v>
      </c>
      <c r="K160" t="s">
        <v>528</v>
      </c>
      <c r="L160" t="s">
        <v>527</v>
      </c>
      <c r="M160" t="s">
        <v>527</v>
      </c>
      <c r="N160" t="s">
        <v>527</v>
      </c>
      <c r="O160" t="s">
        <v>528</v>
      </c>
    </row>
    <row r="161" spans="1:15" x14ac:dyDescent="0.2">
      <c r="A161" t="s">
        <v>180</v>
      </c>
      <c r="B161">
        <v>51</v>
      </c>
      <c r="C161" t="s">
        <v>10</v>
      </c>
      <c r="D161" t="s">
        <v>17</v>
      </c>
      <c r="E161">
        <v>156.08000000000001</v>
      </c>
      <c r="F161">
        <v>0</v>
      </c>
      <c r="G161" t="s">
        <v>15</v>
      </c>
      <c r="H161" s="1">
        <v>44465</v>
      </c>
      <c r="I161" s="14">
        <v>5</v>
      </c>
      <c r="J161" t="s">
        <v>528</v>
      </c>
      <c r="K161" t="s">
        <v>528</v>
      </c>
      <c r="L161" t="s">
        <v>527</v>
      </c>
      <c r="M161" t="s">
        <v>528</v>
      </c>
      <c r="N161" t="s">
        <v>528</v>
      </c>
      <c r="O161" t="s">
        <v>528</v>
      </c>
    </row>
    <row r="162" spans="1:15" x14ac:dyDescent="0.2">
      <c r="A162" t="s">
        <v>181</v>
      </c>
      <c r="B162">
        <v>28</v>
      </c>
      <c r="C162" t="s">
        <v>26</v>
      </c>
      <c r="D162" t="s">
        <v>27</v>
      </c>
      <c r="E162">
        <v>378.33</v>
      </c>
      <c r="F162">
        <v>3</v>
      </c>
      <c r="G162" t="s">
        <v>15</v>
      </c>
      <c r="H162" s="1">
        <v>43659</v>
      </c>
      <c r="I162" s="14">
        <v>4</v>
      </c>
      <c r="J162" t="s">
        <v>527</v>
      </c>
      <c r="K162" t="s">
        <v>527</v>
      </c>
      <c r="L162" t="s">
        <v>528</v>
      </c>
      <c r="M162" t="s">
        <v>528</v>
      </c>
      <c r="N162" t="s">
        <v>528</v>
      </c>
      <c r="O162" t="s">
        <v>527</v>
      </c>
    </row>
    <row r="163" spans="1:15" x14ac:dyDescent="0.2">
      <c r="A163" t="s">
        <v>182</v>
      </c>
      <c r="B163">
        <v>53</v>
      </c>
      <c r="C163" t="s">
        <v>23</v>
      </c>
      <c r="D163" t="s">
        <v>11</v>
      </c>
      <c r="E163">
        <v>267.49</v>
      </c>
      <c r="F163">
        <v>4</v>
      </c>
      <c r="G163" t="s">
        <v>20</v>
      </c>
      <c r="H163" s="1">
        <v>45551</v>
      </c>
      <c r="I163" s="14">
        <v>8</v>
      </c>
      <c r="J163" t="s">
        <v>527</v>
      </c>
      <c r="K163" t="s">
        <v>527</v>
      </c>
      <c r="L163" t="s">
        <v>528</v>
      </c>
      <c r="M163" t="s">
        <v>528</v>
      </c>
      <c r="N163" t="s">
        <v>528</v>
      </c>
      <c r="O163" t="s">
        <v>527</v>
      </c>
    </row>
    <row r="164" spans="1:15" x14ac:dyDescent="0.2">
      <c r="A164" t="s">
        <v>183</v>
      </c>
      <c r="B164">
        <v>44</v>
      </c>
      <c r="C164" t="s">
        <v>23</v>
      </c>
      <c r="D164" t="s">
        <v>17</v>
      </c>
      <c r="E164">
        <v>259.77</v>
      </c>
      <c r="F164">
        <v>0</v>
      </c>
      <c r="G164" t="s">
        <v>15</v>
      </c>
      <c r="H164" s="1">
        <v>43377</v>
      </c>
      <c r="I164" s="14">
        <v>6</v>
      </c>
      <c r="J164" t="s">
        <v>527</v>
      </c>
      <c r="K164" t="s">
        <v>527</v>
      </c>
      <c r="L164" t="s">
        <v>528</v>
      </c>
      <c r="M164" t="s">
        <v>528</v>
      </c>
      <c r="N164" t="s">
        <v>528</v>
      </c>
      <c r="O164" t="s">
        <v>527</v>
      </c>
    </row>
    <row r="165" spans="1:15" x14ac:dyDescent="0.2">
      <c r="A165" t="s">
        <v>184</v>
      </c>
      <c r="B165">
        <v>46</v>
      </c>
      <c r="C165" t="s">
        <v>10</v>
      </c>
      <c r="D165" t="s">
        <v>11</v>
      </c>
      <c r="E165">
        <v>382.32</v>
      </c>
      <c r="F165">
        <v>2</v>
      </c>
      <c r="G165" t="s">
        <v>20</v>
      </c>
      <c r="H165" s="1">
        <v>43936</v>
      </c>
      <c r="I165" s="14">
        <v>1</v>
      </c>
      <c r="J165" t="s">
        <v>527</v>
      </c>
      <c r="K165" t="s">
        <v>528</v>
      </c>
      <c r="L165" t="s">
        <v>527</v>
      </c>
      <c r="M165" t="s">
        <v>528</v>
      </c>
      <c r="N165" t="s">
        <v>528</v>
      </c>
      <c r="O165" t="s">
        <v>527</v>
      </c>
    </row>
    <row r="166" spans="1:15" x14ac:dyDescent="0.2">
      <c r="A166" t="s">
        <v>185</v>
      </c>
      <c r="B166">
        <v>69</v>
      </c>
      <c r="C166" t="s">
        <v>10</v>
      </c>
      <c r="D166" t="s">
        <v>27</v>
      </c>
      <c r="E166">
        <v>260.08</v>
      </c>
      <c r="F166">
        <v>2</v>
      </c>
      <c r="G166" t="s">
        <v>12</v>
      </c>
      <c r="H166" s="1">
        <v>45702</v>
      </c>
      <c r="I166" s="14">
        <v>4</v>
      </c>
      <c r="J166" t="s">
        <v>527</v>
      </c>
      <c r="K166" t="s">
        <v>528</v>
      </c>
      <c r="L166" t="s">
        <v>527</v>
      </c>
      <c r="M166" t="s">
        <v>528</v>
      </c>
      <c r="N166" t="s">
        <v>528</v>
      </c>
      <c r="O166" t="s">
        <v>527</v>
      </c>
    </row>
    <row r="167" spans="1:15" x14ac:dyDescent="0.2">
      <c r="A167" t="s">
        <v>186</v>
      </c>
      <c r="B167">
        <v>73</v>
      </c>
      <c r="C167" t="s">
        <v>26</v>
      </c>
      <c r="D167" t="s">
        <v>27</v>
      </c>
      <c r="E167">
        <v>100.5</v>
      </c>
      <c r="F167">
        <v>1</v>
      </c>
      <c r="G167" t="s">
        <v>12</v>
      </c>
      <c r="H167" s="1">
        <v>44313</v>
      </c>
      <c r="I167" s="14">
        <v>1</v>
      </c>
      <c r="J167" t="s">
        <v>528</v>
      </c>
      <c r="K167" t="s">
        <v>527</v>
      </c>
      <c r="L167" t="s">
        <v>528</v>
      </c>
      <c r="M167" t="s">
        <v>528</v>
      </c>
      <c r="N167" t="s">
        <v>528</v>
      </c>
      <c r="O167" t="s">
        <v>527</v>
      </c>
    </row>
    <row r="168" spans="1:15" x14ac:dyDescent="0.2">
      <c r="A168" t="s">
        <v>187</v>
      </c>
      <c r="B168">
        <v>28</v>
      </c>
      <c r="C168" t="s">
        <v>26</v>
      </c>
      <c r="D168" t="s">
        <v>27</v>
      </c>
      <c r="E168">
        <v>372.78</v>
      </c>
      <c r="F168">
        <v>3</v>
      </c>
      <c r="G168" t="s">
        <v>20</v>
      </c>
      <c r="H168" s="1">
        <v>43314</v>
      </c>
      <c r="I168" s="14">
        <v>9</v>
      </c>
      <c r="J168" t="s">
        <v>527</v>
      </c>
      <c r="K168" t="s">
        <v>527</v>
      </c>
      <c r="L168" t="s">
        <v>528</v>
      </c>
      <c r="M168" t="s">
        <v>528</v>
      </c>
      <c r="N168" t="s">
        <v>528</v>
      </c>
      <c r="O168" t="s">
        <v>527</v>
      </c>
    </row>
    <row r="169" spans="1:15" x14ac:dyDescent="0.2">
      <c r="A169" t="s">
        <v>188</v>
      </c>
      <c r="B169">
        <v>22</v>
      </c>
      <c r="C169" t="s">
        <v>10</v>
      </c>
      <c r="D169" t="s">
        <v>27</v>
      </c>
      <c r="E169">
        <v>308.02</v>
      </c>
      <c r="F169">
        <v>0</v>
      </c>
      <c r="G169" t="s">
        <v>36</v>
      </c>
      <c r="H169" s="1">
        <v>45471</v>
      </c>
      <c r="I169" s="14">
        <v>5</v>
      </c>
      <c r="J169" t="s">
        <v>527</v>
      </c>
      <c r="K169" t="s">
        <v>527</v>
      </c>
      <c r="L169" t="s">
        <v>528</v>
      </c>
      <c r="M169" t="s">
        <v>528</v>
      </c>
      <c r="N169" t="s">
        <v>528</v>
      </c>
      <c r="O169" t="s">
        <v>527</v>
      </c>
    </row>
    <row r="170" spans="1:15" x14ac:dyDescent="0.2">
      <c r="A170" t="s">
        <v>189</v>
      </c>
      <c r="B170">
        <v>30</v>
      </c>
      <c r="C170" t="s">
        <v>26</v>
      </c>
      <c r="D170" t="s">
        <v>11</v>
      </c>
      <c r="E170">
        <v>187.87</v>
      </c>
      <c r="F170">
        <v>0</v>
      </c>
      <c r="G170" t="s">
        <v>12</v>
      </c>
      <c r="H170" s="1">
        <v>44377</v>
      </c>
      <c r="I170" s="14">
        <v>9</v>
      </c>
      <c r="J170" t="s">
        <v>528</v>
      </c>
      <c r="K170" t="s">
        <v>527</v>
      </c>
      <c r="L170" t="s">
        <v>528</v>
      </c>
      <c r="M170" t="s">
        <v>528</v>
      </c>
      <c r="N170" t="s">
        <v>528</v>
      </c>
      <c r="O170" t="s">
        <v>528</v>
      </c>
    </row>
    <row r="171" spans="1:15" x14ac:dyDescent="0.2">
      <c r="A171" t="s">
        <v>190</v>
      </c>
      <c r="B171">
        <v>27</v>
      </c>
      <c r="C171" t="s">
        <v>10</v>
      </c>
      <c r="D171" t="s">
        <v>11</v>
      </c>
      <c r="E171">
        <v>221.97</v>
      </c>
      <c r="F171">
        <v>4</v>
      </c>
      <c r="G171" t="s">
        <v>12</v>
      </c>
      <c r="H171" s="1">
        <v>44360</v>
      </c>
      <c r="I171" s="14">
        <v>9</v>
      </c>
      <c r="J171" t="s">
        <v>527</v>
      </c>
      <c r="K171" t="s">
        <v>527</v>
      </c>
      <c r="L171" t="s">
        <v>528</v>
      </c>
      <c r="M171" t="s">
        <v>528</v>
      </c>
      <c r="N171" t="s">
        <v>528</v>
      </c>
      <c r="O171" t="s">
        <v>528</v>
      </c>
    </row>
    <row r="172" spans="1:15" x14ac:dyDescent="0.2">
      <c r="A172" t="s">
        <v>191</v>
      </c>
      <c r="B172">
        <v>42</v>
      </c>
      <c r="C172" t="s">
        <v>10</v>
      </c>
      <c r="D172" t="s">
        <v>17</v>
      </c>
      <c r="E172">
        <v>77.91</v>
      </c>
      <c r="F172">
        <v>2</v>
      </c>
      <c r="G172" t="s">
        <v>15</v>
      </c>
      <c r="H172" s="1">
        <v>43574</v>
      </c>
      <c r="I172" s="14">
        <v>9</v>
      </c>
      <c r="J172" t="s">
        <v>528</v>
      </c>
      <c r="K172" t="s">
        <v>527</v>
      </c>
      <c r="L172" t="s">
        <v>528</v>
      </c>
      <c r="M172" t="s">
        <v>528</v>
      </c>
      <c r="N172" t="s">
        <v>528</v>
      </c>
      <c r="O172" t="s">
        <v>528</v>
      </c>
    </row>
    <row r="173" spans="1:15" x14ac:dyDescent="0.2">
      <c r="A173" t="s">
        <v>192</v>
      </c>
      <c r="B173">
        <v>67</v>
      </c>
      <c r="C173" t="s">
        <v>26</v>
      </c>
      <c r="D173" t="s">
        <v>27</v>
      </c>
      <c r="E173">
        <v>269.07</v>
      </c>
      <c r="F173">
        <v>3</v>
      </c>
      <c r="G173" t="s">
        <v>20</v>
      </c>
      <c r="H173" s="1">
        <v>44885</v>
      </c>
      <c r="I173" s="14">
        <v>5</v>
      </c>
      <c r="J173" t="s">
        <v>527</v>
      </c>
      <c r="K173" t="s">
        <v>527</v>
      </c>
      <c r="L173" t="s">
        <v>528</v>
      </c>
      <c r="M173" t="s">
        <v>528</v>
      </c>
      <c r="N173" t="s">
        <v>528</v>
      </c>
      <c r="O173" t="s">
        <v>527</v>
      </c>
    </row>
    <row r="174" spans="1:15" x14ac:dyDescent="0.2">
      <c r="A174" t="s">
        <v>193</v>
      </c>
      <c r="B174">
        <v>33</v>
      </c>
      <c r="C174" t="s">
        <v>26</v>
      </c>
      <c r="D174" t="s">
        <v>27</v>
      </c>
      <c r="E174">
        <v>411.01</v>
      </c>
      <c r="F174">
        <v>3</v>
      </c>
      <c r="G174" t="s">
        <v>20</v>
      </c>
      <c r="H174" s="1">
        <v>43297</v>
      </c>
      <c r="I174" s="14">
        <v>8</v>
      </c>
      <c r="J174" t="s">
        <v>527</v>
      </c>
      <c r="K174" t="s">
        <v>527</v>
      </c>
      <c r="L174" t="s">
        <v>528</v>
      </c>
      <c r="M174" t="s">
        <v>528</v>
      </c>
      <c r="N174" t="s">
        <v>528</v>
      </c>
      <c r="O174" t="s">
        <v>527</v>
      </c>
    </row>
    <row r="175" spans="1:15" x14ac:dyDescent="0.2">
      <c r="A175" t="s">
        <v>194</v>
      </c>
      <c r="B175">
        <v>44</v>
      </c>
      <c r="C175" t="s">
        <v>10</v>
      </c>
      <c r="D175" t="s">
        <v>27</v>
      </c>
      <c r="E175">
        <v>401.07</v>
      </c>
      <c r="F175">
        <v>0</v>
      </c>
      <c r="G175" t="s">
        <v>36</v>
      </c>
      <c r="H175" s="1">
        <v>45548</v>
      </c>
      <c r="I175" s="14">
        <v>2</v>
      </c>
      <c r="J175" t="s">
        <v>527</v>
      </c>
      <c r="K175" t="s">
        <v>527</v>
      </c>
      <c r="L175" t="s">
        <v>528</v>
      </c>
      <c r="M175" t="s">
        <v>528</v>
      </c>
      <c r="N175" t="s">
        <v>528</v>
      </c>
      <c r="O175" t="s">
        <v>527</v>
      </c>
    </row>
    <row r="176" spans="1:15" x14ac:dyDescent="0.2">
      <c r="A176" t="s">
        <v>195</v>
      </c>
      <c r="B176">
        <v>69</v>
      </c>
      <c r="C176" t="s">
        <v>23</v>
      </c>
      <c r="D176" t="s">
        <v>27</v>
      </c>
      <c r="E176">
        <v>252.37</v>
      </c>
      <c r="F176">
        <v>1</v>
      </c>
      <c r="G176" t="s">
        <v>20</v>
      </c>
      <c r="H176" s="1">
        <v>44222</v>
      </c>
      <c r="I176" s="14">
        <v>9</v>
      </c>
      <c r="J176" t="s">
        <v>527</v>
      </c>
      <c r="K176" t="s">
        <v>527</v>
      </c>
      <c r="L176" t="s">
        <v>528</v>
      </c>
      <c r="M176" t="s">
        <v>528</v>
      </c>
      <c r="N176" t="s">
        <v>528</v>
      </c>
      <c r="O176" t="s">
        <v>527</v>
      </c>
    </row>
    <row r="177" spans="1:15" x14ac:dyDescent="0.2">
      <c r="A177" t="s">
        <v>196</v>
      </c>
      <c r="B177">
        <v>59</v>
      </c>
      <c r="C177" t="s">
        <v>26</v>
      </c>
      <c r="D177" t="s">
        <v>17</v>
      </c>
      <c r="E177">
        <v>261.7</v>
      </c>
      <c r="F177">
        <v>1</v>
      </c>
      <c r="G177" t="s">
        <v>20</v>
      </c>
      <c r="H177" s="1">
        <v>42567</v>
      </c>
      <c r="I177" s="14">
        <v>7</v>
      </c>
      <c r="J177" t="s">
        <v>527</v>
      </c>
      <c r="K177" t="s">
        <v>527</v>
      </c>
      <c r="L177" t="s">
        <v>528</v>
      </c>
      <c r="M177" t="s">
        <v>528</v>
      </c>
      <c r="N177" t="s">
        <v>528</v>
      </c>
      <c r="O177" t="s">
        <v>527</v>
      </c>
    </row>
    <row r="178" spans="1:15" x14ac:dyDescent="0.2">
      <c r="A178" t="s">
        <v>197</v>
      </c>
      <c r="B178">
        <v>72</v>
      </c>
      <c r="C178" t="s">
        <v>26</v>
      </c>
      <c r="D178" t="s">
        <v>17</v>
      </c>
      <c r="E178">
        <v>138.27000000000001</v>
      </c>
      <c r="F178">
        <v>4</v>
      </c>
      <c r="G178" t="s">
        <v>15</v>
      </c>
      <c r="H178" s="1">
        <v>42887</v>
      </c>
      <c r="I178" s="14">
        <v>8</v>
      </c>
      <c r="J178" t="s">
        <v>527</v>
      </c>
      <c r="K178" t="s">
        <v>528</v>
      </c>
      <c r="L178" t="s">
        <v>527</v>
      </c>
      <c r="M178" t="s">
        <v>527</v>
      </c>
      <c r="N178" t="s">
        <v>528</v>
      </c>
      <c r="O178" t="s">
        <v>528</v>
      </c>
    </row>
    <row r="179" spans="1:15" x14ac:dyDescent="0.2">
      <c r="A179" t="s">
        <v>198</v>
      </c>
      <c r="B179">
        <v>74</v>
      </c>
      <c r="C179" t="s">
        <v>544</v>
      </c>
      <c r="D179" t="s">
        <v>27</v>
      </c>
      <c r="E179">
        <v>187.64</v>
      </c>
      <c r="F179">
        <v>0</v>
      </c>
      <c r="G179" t="s">
        <v>20</v>
      </c>
      <c r="H179" s="1">
        <v>42574</v>
      </c>
      <c r="I179" s="14">
        <v>2</v>
      </c>
      <c r="J179" t="s">
        <v>528</v>
      </c>
      <c r="K179" t="s">
        <v>527</v>
      </c>
      <c r="L179" t="s">
        <v>528</v>
      </c>
      <c r="M179" t="s">
        <v>528</v>
      </c>
      <c r="N179" t="s">
        <v>528</v>
      </c>
      <c r="O179" t="s">
        <v>528</v>
      </c>
    </row>
    <row r="180" spans="1:15" x14ac:dyDescent="0.2">
      <c r="A180" t="s">
        <v>199</v>
      </c>
      <c r="B180">
        <v>57</v>
      </c>
      <c r="C180" t="s">
        <v>26</v>
      </c>
      <c r="D180" t="s">
        <v>11</v>
      </c>
      <c r="E180">
        <v>341.58</v>
      </c>
      <c r="F180">
        <v>4</v>
      </c>
      <c r="G180" t="s">
        <v>36</v>
      </c>
      <c r="H180" s="1">
        <v>45117</v>
      </c>
      <c r="I180" s="14">
        <v>10</v>
      </c>
      <c r="J180" t="s">
        <v>527</v>
      </c>
      <c r="K180" t="s">
        <v>527</v>
      </c>
      <c r="L180" t="s">
        <v>528</v>
      </c>
      <c r="M180" t="s">
        <v>528</v>
      </c>
      <c r="N180" t="s">
        <v>528</v>
      </c>
      <c r="O180" t="s">
        <v>528</v>
      </c>
    </row>
    <row r="181" spans="1:15" x14ac:dyDescent="0.2">
      <c r="A181" t="s">
        <v>200</v>
      </c>
      <c r="B181">
        <v>32</v>
      </c>
      <c r="C181" t="s">
        <v>10</v>
      </c>
      <c r="D181" t="s">
        <v>27</v>
      </c>
      <c r="E181">
        <v>360.08</v>
      </c>
      <c r="F181">
        <v>3</v>
      </c>
      <c r="G181" t="s">
        <v>36</v>
      </c>
      <c r="H181" s="1">
        <v>45699</v>
      </c>
      <c r="I181" s="14">
        <v>1</v>
      </c>
      <c r="J181" t="s">
        <v>527</v>
      </c>
      <c r="K181" t="s">
        <v>527</v>
      </c>
      <c r="L181" t="s">
        <v>528</v>
      </c>
      <c r="M181" t="s">
        <v>528</v>
      </c>
      <c r="N181" t="s">
        <v>528</v>
      </c>
      <c r="O181" t="s">
        <v>527</v>
      </c>
    </row>
    <row r="182" spans="1:15" x14ac:dyDescent="0.2">
      <c r="A182" t="s">
        <v>201</v>
      </c>
      <c r="B182">
        <v>19</v>
      </c>
      <c r="C182" t="s">
        <v>10</v>
      </c>
      <c r="D182" t="s">
        <v>17</v>
      </c>
      <c r="E182">
        <v>253.09</v>
      </c>
      <c r="F182">
        <v>3</v>
      </c>
      <c r="G182" t="s">
        <v>36</v>
      </c>
      <c r="H182" s="1">
        <v>42732</v>
      </c>
      <c r="I182" s="14">
        <v>7</v>
      </c>
      <c r="J182" t="s">
        <v>527</v>
      </c>
      <c r="K182" t="s">
        <v>527</v>
      </c>
      <c r="L182" t="s">
        <v>528</v>
      </c>
      <c r="M182" t="s">
        <v>528</v>
      </c>
      <c r="N182" t="s">
        <v>528</v>
      </c>
      <c r="O182" t="s">
        <v>527</v>
      </c>
    </row>
    <row r="183" spans="1:15" x14ac:dyDescent="0.2">
      <c r="A183" t="s">
        <v>202</v>
      </c>
      <c r="B183">
        <v>18</v>
      </c>
      <c r="C183" t="s">
        <v>10</v>
      </c>
      <c r="D183" t="s">
        <v>27</v>
      </c>
      <c r="E183">
        <v>95.32</v>
      </c>
      <c r="F183">
        <v>3</v>
      </c>
      <c r="G183" t="s">
        <v>15</v>
      </c>
      <c r="H183" s="1">
        <v>43618</v>
      </c>
      <c r="I183" s="14">
        <v>9</v>
      </c>
      <c r="J183" t="s">
        <v>527</v>
      </c>
      <c r="K183" t="s">
        <v>527</v>
      </c>
      <c r="L183" t="s">
        <v>528</v>
      </c>
      <c r="M183" t="s">
        <v>528</v>
      </c>
      <c r="N183" t="s">
        <v>528</v>
      </c>
      <c r="O183" t="s">
        <v>527</v>
      </c>
    </row>
    <row r="184" spans="1:15" hidden="1" x14ac:dyDescent="0.2">
      <c r="A184" t="s">
        <v>203</v>
      </c>
      <c r="B184">
        <v>18</v>
      </c>
      <c r="C184" t="s">
        <v>26</v>
      </c>
      <c r="D184" t="s">
        <v>11</v>
      </c>
      <c r="F184">
        <v>4</v>
      </c>
      <c r="G184" t="s">
        <v>12</v>
      </c>
      <c r="H184" s="1">
        <v>45596</v>
      </c>
      <c r="I184">
        <v>4</v>
      </c>
      <c r="J184" t="s">
        <v>528</v>
      </c>
      <c r="K184" t="s">
        <v>527</v>
      </c>
      <c r="L184" t="s">
        <v>528</v>
      </c>
      <c r="M184" t="s">
        <v>528</v>
      </c>
      <c r="N184" t="s">
        <v>528</v>
      </c>
      <c r="O184" t="s">
        <v>527</v>
      </c>
    </row>
    <row r="185" spans="1:15" x14ac:dyDescent="0.2">
      <c r="A185" t="s">
        <v>204</v>
      </c>
      <c r="B185">
        <v>26</v>
      </c>
      <c r="C185" t="s">
        <v>26</v>
      </c>
      <c r="D185" t="s">
        <v>11</v>
      </c>
      <c r="E185">
        <v>405.75</v>
      </c>
      <c r="F185">
        <v>4</v>
      </c>
      <c r="G185" t="s">
        <v>15</v>
      </c>
      <c r="H185" s="1">
        <v>44706</v>
      </c>
      <c r="I185" s="14">
        <v>8</v>
      </c>
      <c r="J185" t="s">
        <v>527</v>
      </c>
      <c r="K185" t="s">
        <v>527</v>
      </c>
      <c r="L185" t="s">
        <v>528</v>
      </c>
      <c r="M185" t="s">
        <v>528</v>
      </c>
      <c r="N185" t="s">
        <v>528</v>
      </c>
      <c r="O185" t="s">
        <v>527</v>
      </c>
    </row>
    <row r="186" spans="1:15" x14ac:dyDescent="0.2">
      <c r="A186" t="s">
        <v>205</v>
      </c>
      <c r="B186">
        <v>48</v>
      </c>
      <c r="C186" t="s">
        <v>23</v>
      </c>
      <c r="D186" t="s">
        <v>17</v>
      </c>
      <c r="E186">
        <v>249.69</v>
      </c>
      <c r="F186">
        <v>0</v>
      </c>
      <c r="G186" t="s">
        <v>36</v>
      </c>
      <c r="H186" s="1">
        <v>42906</v>
      </c>
      <c r="I186" s="14">
        <v>4</v>
      </c>
      <c r="J186" t="s">
        <v>527</v>
      </c>
      <c r="K186" t="s">
        <v>527</v>
      </c>
      <c r="L186" t="s">
        <v>528</v>
      </c>
      <c r="M186" t="s">
        <v>528</v>
      </c>
      <c r="N186" t="s">
        <v>528</v>
      </c>
      <c r="O186" t="s">
        <v>527</v>
      </c>
    </row>
    <row r="187" spans="1:15" x14ac:dyDescent="0.2">
      <c r="A187" t="s">
        <v>206</v>
      </c>
      <c r="B187">
        <v>69</v>
      </c>
      <c r="C187" t="s">
        <v>26</v>
      </c>
      <c r="D187" t="s">
        <v>17</v>
      </c>
      <c r="E187">
        <v>345.92</v>
      </c>
      <c r="F187">
        <v>2</v>
      </c>
      <c r="G187" t="s">
        <v>20</v>
      </c>
      <c r="H187" s="1">
        <v>45554</v>
      </c>
      <c r="I187" s="14">
        <v>9</v>
      </c>
      <c r="J187" t="s">
        <v>527</v>
      </c>
      <c r="K187" t="s">
        <v>527</v>
      </c>
      <c r="L187" t="s">
        <v>528</v>
      </c>
      <c r="M187" t="s">
        <v>528</v>
      </c>
      <c r="N187" t="s">
        <v>528</v>
      </c>
      <c r="O187" t="s">
        <v>527</v>
      </c>
    </row>
    <row r="188" spans="1:15" x14ac:dyDescent="0.2">
      <c r="A188" t="s">
        <v>207</v>
      </c>
      <c r="B188">
        <v>26</v>
      </c>
      <c r="C188" t="s">
        <v>26</v>
      </c>
      <c r="D188" t="s">
        <v>11</v>
      </c>
      <c r="E188">
        <v>494.56</v>
      </c>
      <c r="F188">
        <v>1</v>
      </c>
      <c r="G188" t="s">
        <v>12</v>
      </c>
      <c r="H188" s="1">
        <v>44001</v>
      </c>
      <c r="I188" s="14">
        <v>2</v>
      </c>
      <c r="J188" t="s">
        <v>527</v>
      </c>
      <c r="K188" t="s">
        <v>527</v>
      </c>
      <c r="L188" t="s">
        <v>528</v>
      </c>
      <c r="M188" t="s">
        <v>528</v>
      </c>
      <c r="N188" t="s">
        <v>528</v>
      </c>
      <c r="O188" t="s">
        <v>527</v>
      </c>
    </row>
    <row r="189" spans="1:15" x14ac:dyDescent="0.2">
      <c r="A189" t="s">
        <v>208</v>
      </c>
      <c r="B189">
        <v>44</v>
      </c>
      <c r="C189" t="s">
        <v>10</v>
      </c>
      <c r="D189" t="s">
        <v>17</v>
      </c>
      <c r="E189">
        <v>311.55</v>
      </c>
      <c r="F189">
        <v>3</v>
      </c>
      <c r="G189" t="s">
        <v>12</v>
      </c>
      <c r="H189" s="1">
        <v>45323</v>
      </c>
      <c r="I189" s="14">
        <v>4</v>
      </c>
      <c r="J189" t="s">
        <v>527</v>
      </c>
      <c r="K189" t="s">
        <v>527</v>
      </c>
      <c r="L189" t="s">
        <v>528</v>
      </c>
      <c r="M189" t="s">
        <v>528</v>
      </c>
      <c r="N189" t="s">
        <v>528</v>
      </c>
      <c r="O189" t="s">
        <v>527</v>
      </c>
    </row>
    <row r="190" spans="1:15" x14ac:dyDescent="0.2">
      <c r="A190" t="s">
        <v>209</v>
      </c>
      <c r="B190">
        <v>39</v>
      </c>
      <c r="C190" t="s">
        <v>10</v>
      </c>
      <c r="D190" t="s">
        <v>11</v>
      </c>
      <c r="E190">
        <v>436.65</v>
      </c>
      <c r="F190">
        <v>0</v>
      </c>
      <c r="G190" t="s">
        <v>20</v>
      </c>
      <c r="H190" s="1">
        <v>43492</v>
      </c>
      <c r="I190" s="14">
        <v>3</v>
      </c>
      <c r="J190" t="s">
        <v>527</v>
      </c>
      <c r="K190" t="s">
        <v>527</v>
      </c>
      <c r="L190" t="s">
        <v>528</v>
      </c>
      <c r="M190" t="s">
        <v>528</v>
      </c>
      <c r="N190" t="s">
        <v>528</v>
      </c>
      <c r="O190" t="s">
        <v>527</v>
      </c>
    </row>
    <row r="191" spans="1:15" x14ac:dyDescent="0.2">
      <c r="A191" t="s">
        <v>210</v>
      </c>
      <c r="B191">
        <v>58</v>
      </c>
      <c r="C191" t="s">
        <v>544</v>
      </c>
      <c r="D191" t="s">
        <v>17</v>
      </c>
      <c r="E191">
        <v>100.66</v>
      </c>
      <c r="F191">
        <v>1</v>
      </c>
      <c r="G191" t="s">
        <v>12</v>
      </c>
      <c r="H191" s="1">
        <v>43475</v>
      </c>
      <c r="I191" s="14">
        <v>8</v>
      </c>
      <c r="J191" t="s">
        <v>527</v>
      </c>
      <c r="K191" t="s">
        <v>527</v>
      </c>
      <c r="L191" t="s">
        <v>528</v>
      </c>
      <c r="M191" t="s">
        <v>528</v>
      </c>
      <c r="N191" t="s">
        <v>528</v>
      </c>
      <c r="O191" t="s">
        <v>527</v>
      </c>
    </row>
    <row r="192" spans="1:15" x14ac:dyDescent="0.2">
      <c r="A192" t="s">
        <v>211</v>
      </c>
      <c r="B192">
        <v>71</v>
      </c>
      <c r="C192" t="s">
        <v>26</v>
      </c>
      <c r="D192" t="s">
        <v>11</v>
      </c>
      <c r="E192">
        <v>56.37</v>
      </c>
      <c r="F192">
        <v>3</v>
      </c>
      <c r="G192" t="s">
        <v>12</v>
      </c>
      <c r="H192" s="1">
        <v>42496</v>
      </c>
      <c r="I192" s="14">
        <v>1</v>
      </c>
      <c r="J192" t="s">
        <v>527</v>
      </c>
      <c r="K192" t="s">
        <v>527</v>
      </c>
      <c r="L192" t="s">
        <v>528</v>
      </c>
      <c r="M192" t="s">
        <v>528</v>
      </c>
      <c r="N192" t="s">
        <v>528</v>
      </c>
      <c r="O192" t="s">
        <v>527</v>
      </c>
    </row>
    <row r="193" spans="1:15" x14ac:dyDescent="0.2">
      <c r="A193" t="s">
        <v>212</v>
      </c>
      <c r="B193">
        <v>21</v>
      </c>
      <c r="C193" t="s">
        <v>10</v>
      </c>
      <c r="D193" t="s">
        <v>17</v>
      </c>
      <c r="E193">
        <v>213.69</v>
      </c>
      <c r="F193">
        <v>1</v>
      </c>
      <c r="G193" t="s">
        <v>12</v>
      </c>
      <c r="H193" s="1">
        <v>42253</v>
      </c>
      <c r="I193" s="14">
        <v>7</v>
      </c>
      <c r="J193" t="s">
        <v>527</v>
      </c>
      <c r="K193" t="s">
        <v>527</v>
      </c>
      <c r="L193" t="s">
        <v>528</v>
      </c>
      <c r="M193" t="s">
        <v>528</v>
      </c>
      <c r="N193" t="s">
        <v>528</v>
      </c>
      <c r="O193" t="s">
        <v>527</v>
      </c>
    </row>
    <row r="194" spans="1:15" x14ac:dyDescent="0.2">
      <c r="A194" t="s">
        <v>213</v>
      </c>
      <c r="B194">
        <v>27</v>
      </c>
      <c r="C194" t="s">
        <v>10</v>
      </c>
      <c r="D194" t="s">
        <v>27</v>
      </c>
      <c r="E194">
        <v>135.5</v>
      </c>
      <c r="F194">
        <v>3</v>
      </c>
      <c r="G194" t="s">
        <v>15</v>
      </c>
      <c r="H194" s="1">
        <v>44752</v>
      </c>
      <c r="I194" s="14">
        <v>5</v>
      </c>
      <c r="J194" t="s">
        <v>527</v>
      </c>
      <c r="K194" t="s">
        <v>527</v>
      </c>
      <c r="L194" t="s">
        <v>528</v>
      </c>
      <c r="M194" t="s">
        <v>528</v>
      </c>
      <c r="N194" t="s">
        <v>528</v>
      </c>
      <c r="O194" t="s">
        <v>527</v>
      </c>
    </row>
    <row r="195" spans="1:15" x14ac:dyDescent="0.2">
      <c r="A195" t="s">
        <v>214</v>
      </c>
      <c r="B195">
        <v>72</v>
      </c>
      <c r="C195" t="s">
        <v>26</v>
      </c>
      <c r="D195" t="s">
        <v>17</v>
      </c>
      <c r="E195">
        <v>421.38</v>
      </c>
      <c r="F195">
        <v>4</v>
      </c>
      <c r="G195" t="s">
        <v>36</v>
      </c>
      <c r="H195" s="1">
        <v>42569</v>
      </c>
      <c r="I195" s="14">
        <v>3</v>
      </c>
      <c r="J195" t="s">
        <v>527</v>
      </c>
      <c r="K195" t="s">
        <v>527</v>
      </c>
      <c r="L195" t="s">
        <v>528</v>
      </c>
      <c r="M195" t="s">
        <v>528</v>
      </c>
      <c r="N195" t="s">
        <v>528</v>
      </c>
      <c r="O195" t="s">
        <v>527</v>
      </c>
    </row>
    <row r="196" spans="1:15" x14ac:dyDescent="0.2">
      <c r="A196" t="s">
        <v>215</v>
      </c>
      <c r="B196">
        <v>44</v>
      </c>
      <c r="C196" t="s">
        <v>10</v>
      </c>
      <c r="D196" t="s">
        <v>17</v>
      </c>
      <c r="E196">
        <v>378.8</v>
      </c>
      <c r="F196">
        <v>2</v>
      </c>
      <c r="G196" t="s">
        <v>15</v>
      </c>
      <c r="H196" s="1">
        <v>42389</v>
      </c>
      <c r="I196" s="14" t="s">
        <v>544</v>
      </c>
      <c r="J196" t="s">
        <v>527</v>
      </c>
      <c r="K196" t="s">
        <v>527</v>
      </c>
      <c r="L196" t="s">
        <v>528</v>
      </c>
      <c r="M196" t="s">
        <v>528</v>
      </c>
      <c r="N196" t="s">
        <v>528</v>
      </c>
      <c r="O196" t="s">
        <v>527</v>
      </c>
    </row>
    <row r="197" spans="1:15" x14ac:dyDescent="0.2">
      <c r="A197" t="s">
        <v>216</v>
      </c>
      <c r="B197">
        <v>18</v>
      </c>
      <c r="C197" t="s">
        <v>10</v>
      </c>
      <c r="D197" t="s">
        <v>27</v>
      </c>
      <c r="E197">
        <v>487</v>
      </c>
      <c r="F197">
        <v>0</v>
      </c>
      <c r="G197" t="s">
        <v>20</v>
      </c>
      <c r="H197" s="1">
        <v>42686</v>
      </c>
      <c r="I197" s="14">
        <v>7</v>
      </c>
      <c r="J197" t="s">
        <v>527</v>
      </c>
      <c r="K197" t="s">
        <v>527</v>
      </c>
      <c r="L197" t="s">
        <v>528</v>
      </c>
      <c r="M197" t="s">
        <v>528</v>
      </c>
      <c r="N197" t="s">
        <v>528</v>
      </c>
      <c r="O197" t="s">
        <v>527</v>
      </c>
    </row>
    <row r="198" spans="1:15" x14ac:dyDescent="0.2">
      <c r="A198" t="s">
        <v>217</v>
      </c>
      <c r="B198">
        <v>25</v>
      </c>
      <c r="C198" t="s">
        <v>10</v>
      </c>
      <c r="D198" t="s">
        <v>27</v>
      </c>
      <c r="E198">
        <v>379.89</v>
      </c>
      <c r="F198">
        <v>2</v>
      </c>
      <c r="G198" t="s">
        <v>12</v>
      </c>
      <c r="H198" s="1">
        <v>43735</v>
      </c>
      <c r="I198" s="14">
        <v>8</v>
      </c>
      <c r="J198" t="s">
        <v>527</v>
      </c>
      <c r="K198" t="s">
        <v>527</v>
      </c>
      <c r="L198" t="s">
        <v>528</v>
      </c>
      <c r="M198" t="s">
        <v>528</v>
      </c>
      <c r="N198" t="s">
        <v>528</v>
      </c>
      <c r="O198" t="s">
        <v>527</v>
      </c>
    </row>
    <row r="199" spans="1:15" x14ac:dyDescent="0.2">
      <c r="A199" t="s">
        <v>218</v>
      </c>
      <c r="B199">
        <v>29</v>
      </c>
      <c r="C199" t="s">
        <v>544</v>
      </c>
      <c r="D199" t="s">
        <v>11</v>
      </c>
      <c r="E199">
        <v>490.71</v>
      </c>
      <c r="F199">
        <v>2</v>
      </c>
      <c r="G199" t="s">
        <v>15</v>
      </c>
      <c r="H199" s="1">
        <v>43961</v>
      </c>
      <c r="I199" s="14">
        <v>3</v>
      </c>
      <c r="J199" t="s">
        <v>527</v>
      </c>
      <c r="K199" t="s">
        <v>528</v>
      </c>
      <c r="L199" t="s">
        <v>527</v>
      </c>
      <c r="M199" t="s">
        <v>528</v>
      </c>
      <c r="N199" t="s">
        <v>528</v>
      </c>
      <c r="O199" t="s">
        <v>527</v>
      </c>
    </row>
    <row r="200" spans="1:15" x14ac:dyDescent="0.2">
      <c r="A200" t="s">
        <v>219</v>
      </c>
      <c r="B200">
        <v>51</v>
      </c>
      <c r="C200" t="s">
        <v>23</v>
      </c>
      <c r="D200" t="s">
        <v>27</v>
      </c>
      <c r="E200">
        <v>140.37</v>
      </c>
      <c r="F200">
        <v>0</v>
      </c>
      <c r="G200" t="s">
        <v>20</v>
      </c>
      <c r="H200" s="1">
        <v>45550</v>
      </c>
      <c r="I200" s="14">
        <v>4</v>
      </c>
      <c r="J200" t="s">
        <v>527</v>
      </c>
      <c r="K200" t="s">
        <v>527</v>
      </c>
      <c r="L200" t="s">
        <v>528</v>
      </c>
      <c r="M200" t="s">
        <v>528</v>
      </c>
      <c r="N200" t="s">
        <v>528</v>
      </c>
      <c r="O200" t="s">
        <v>527</v>
      </c>
    </row>
    <row r="201" spans="1:15" x14ac:dyDescent="0.2">
      <c r="A201" t="s">
        <v>220</v>
      </c>
      <c r="B201">
        <v>25</v>
      </c>
      <c r="C201" t="s">
        <v>10</v>
      </c>
      <c r="D201" t="s">
        <v>17</v>
      </c>
      <c r="E201">
        <v>107.61</v>
      </c>
      <c r="F201">
        <v>0</v>
      </c>
      <c r="G201" t="s">
        <v>36</v>
      </c>
      <c r="H201" s="1">
        <v>42496</v>
      </c>
      <c r="I201" s="14">
        <v>2</v>
      </c>
      <c r="J201" t="s">
        <v>528</v>
      </c>
      <c r="K201" t="s">
        <v>528</v>
      </c>
      <c r="L201" t="s">
        <v>527</v>
      </c>
      <c r="M201" t="s">
        <v>527</v>
      </c>
      <c r="N201" t="s">
        <v>527</v>
      </c>
      <c r="O201" t="s">
        <v>528</v>
      </c>
    </row>
    <row r="202" spans="1:15" x14ac:dyDescent="0.2">
      <c r="A202" t="s">
        <v>221</v>
      </c>
      <c r="B202">
        <v>35</v>
      </c>
      <c r="C202" t="s">
        <v>544</v>
      </c>
      <c r="D202" t="s">
        <v>17</v>
      </c>
      <c r="E202">
        <v>399.07</v>
      </c>
      <c r="F202">
        <v>3</v>
      </c>
      <c r="G202" t="s">
        <v>15</v>
      </c>
      <c r="H202" s="1">
        <v>45655</v>
      </c>
      <c r="I202" s="14">
        <v>3</v>
      </c>
      <c r="J202" t="s">
        <v>527</v>
      </c>
      <c r="K202" t="s">
        <v>528</v>
      </c>
      <c r="L202" t="s">
        <v>527</v>
      </c>
      <c r="M202" t="s">
        <v>527</v>
      </c>
      <c r="N202" t="s">
        <v>527</v>
      </c>
      <c r="O202" t="s">
        <v>528</v>
      </c>
    </row>
    <row r="203" spans="1:15" x14ac:dyDescent="0.2">
      <c r="A203" t="s">
        <v>222</v>
      </c>
      <c r="B203">
        <v>66</v>
      </c>
      <c r="C203" t="s">
        <v>10</v>
      </c>
      <c r="D203" t="s">
        <v>17</v>
      </c>
      <c r="E203">
        <v>470.75</v>
      </c>
      <c r="F203">
        <v>4</v>
      </c>
      <c r="G203" t="s">
        <v>20</v>
      </c>
      <c r="H203" s="1">
        <v>42485</v>
      </c>
      <c r="I203" s="14">
        <v>5</v>
      </c>
      <c r="J203" t="s">
        <v>527</v>
      </c>
      <c r="K203" t="s">
        <v>527</v>
      </c>
      <c r="L203" t="s">
        <v>528</v>
      </c>
      <c r="M203" t="s">
        <v>528</v>
      </c>
      <c r="N203" t="s">
        <v>528</v>
      </c>
      <c r="O203" t="s">
        <v>527</v>
      </c>
    </row>
    <row r="204" spans="1:15" x14ac:dyDescent="0.2">
      <c r="A204" t="s">
        <v>223</v>
      </c>
      <c r="B204">
        <v>24</v>
      </c>
      <c r="C204" t="s">
        <v>10</v>
      </c>
      <c r="D204" t="s">
        <v>11</v>
      </c>
      <c r="E204">
        <v>310.62</v>
      </c>
      <c r="F204">
        <v>1</v>
      </c>
      <c r="G204" t="s">
        <v>20</v>
      </c>
      <c r="H204" s="1">
        <v>42215</v>
      </c>
      <c r="I204" s="14">
        <v>5</v>
      </c>
      <c r="J204" t="s">
        <v>527</v>
      </c>
      <c r="K204" t="s">
        <v>527</v>
      </c>
      <c r="L204" t="s">
        <v>528</v>
      </c>
      <c r="M204" t="s">
        <v>528</v>
      </c>
      <c r="N204" t="s">
        <v>528</v>
      </c>
      <c r="O204" t="s">
        <v>527</v>
      </c>
    </row>
    <row r="205" spans="1:15" x14ac:dyDescent="0.2">
      <c r="A205" t="s">
        <v>224</v>
      </c>
      <c r="B205">
        <v>24</v>
      </c>
      <c r="C205" t="s">
        <v>10</v>
      </c>
      <c r="D205" t="s">
        <v>11</v>
      </c>
      <c r="E205">
        <v>474.6</v>
      </c>
      <c r="F205">
        <v>0</v>
      </c>
      <c r="G205" t="s">
        <v>20</v>
      </c>
      <c r="H205" s="1">
        <v>42160</v>
      </c>
      <c r="I205" s="14">
        <v>5</v>
      </c>
      <c r="J205" t="s">
        <v>527</v>
      </c>
      <c r="K205" t="s">
        <v>527</v>
      </c>
      <c r="L205" t="s">
        <v>528</v>
      </c>
      <c r="M205" t="s">
        <v>528</v>
      </c>
      <c r="N205" t="s">
        <v>528</v>
      </c>
      <c r="O205" t="s">
        <v>527</v>
      </c>
    </row>
    <row r="206" spans="1:15" x14ac:dyDescent="0.2">
      <c r="A206" t="s">
        <v>225</v>
      </c>
      <c r="B206">
        <v>68</v>
      </c>
      <c r="C206" t="s">
        <v>10</v>
      </c>
      <c r="D206" t="s">
        <v>11</v>
      </c>
      <c r="E206">
        <v>404.39</v>
      </c>
      <c r="F206">
        <v>4</v>
      </c>
      <c r="G206" t="s">
        <v>20</v>
      </c>
      <c r="H206" s="1">
        <v>43799</v>
      </c>
      <c r="I206" s="14">
        <v>7</v>
      </c>
      <c r="J206" t="s">
        <v>527</v>
      </c>
      <c r="K206" t="s">
        <v>527</v>
      </c>
      <c r="L206" t="s">
        <v>528</v>
      </c>
      <c r="M206" t="s">
        <v>528</v>
      </c>
      <c r="N206" t="s">
        <v>528</v>
      </c>
      <c r="O206" t="s">
        <v>527</v>
      </c>
    </row>
    <row r="207" spans="1:15" x14ac:dyDescent="0.2">
      <c r="A207" t="s">
        <v>226</v>
      </c>
      <c r="B207">
        <v>32</v>
      </c>
      <c r="C207" t="s">
        <v>544</v>
      </c>
      <c r="D207" t="s">
        <v>27</v>
      </c>
      <c r="E207">
        <v>182.58</v>
      </c>
      <c r="F207">
        <v>4</v>
      </c>
      <c r="G207" t="s">
        <v>15</v>
      </c>
      <c r="H207" s="1">
        <v>44455</v>
      </c>
      <c r="I207" s="14">
        <v>2</v>
      </c>
      <c r="J207" t="s">
        <v>528</v>
      </c>
      <c r="K207" t="s">
        <v>527</v>
      </c>
      <c r="L207" t="s">
        <v>528</v>
      </c>
      <c r="M207" t="s">
        <v>528</v>
      </c>
      <c r="N207" t="s">
        <v>528</v>
      </c>
      <c r="O207" t="s">
        <v>528</v>
      </c>
    </row>
    <row r="208" spans="1:15" x14ac:dyDescent="0.2">
      <c r="A208" t="s">
        <v>227</v>
      </c>
      <c r="B208">
        <v>45</v>
      </c>
      <c r="C208" t="s">
        <v>23</v>
      </c>
      <c r="D208" t="s">
        <v>17</v>
      </c>
      <c r="E208">
        <v>316.76</v>
      </c>
      <c r="F208">
        <v>0</v>
      </c>
      <c r="G208" t="s">
        <v>20</v>
      </c>
      <c r="H208" s="1">
        <v>43948</v>
      </c>
      <c r="I208" s="14">
        <v>1</v>
      </c>
      <c r="J208" t="s">
        <v>527</v>
      </c>
      <c r="K208" t="s">
        <v>527</v>
      </c>
      <c r="L208" t="s">
        <v>528</v>
      </c>
      <c r="M208" t="s">
        <v>528</v>
      </c>
      <c r="N208" t="s">
        <v>528</v>
      </c>
      <c r="O208" t="s">
        <v>527</v>
      </c>
    </row>
    <row r="209" spans="1:15" x14ac:dyDescent="0.2">
      <c r="A209" t="s">
        <v>228</v>
      </c>
      <c r="B209">
        <v>63</v>
      </c>
      <c r="C209" t="s">
        <v>10</v>
      </c>
      <c r="D209" t="s">
        <v>11</v>
      </c>
      <c r="E209">
        <v>244.53</v>
      </c>
      <c r="F209">
        <v>1</v>
      </c>
      <c r="G209" t="s">
        <v>15</v>
      </c>
      <c r="H209" s="1">
        <v>43245</v>
      </c>
      <c r="I209" s="14">
        <v>5</v>
      </c>
      <c r="J209" t="s">
        <v>527</v>
      </c>
      <c r="K209" t="s">
        <v>527</v>
      </c>
      <c r="L209" t="s">
        <v>528</v>
      </c>
      <c r="M209" t="s">
        <v>528</v>
      </c>
      <c r="N209" t="s">
        <v>528</v>
      </c>
      <c r="O209" t="s">
        <v>527</v>
      </c>
    </row>
    <row r="210" spans="1:15" hidden="1" x14ac:dyDescent="0.2">
      <c r="A210" t="s">
        <v>229</v>
      </c>
      <c r="B210">
        <v>72</v>
      </c>
      <c r="C210" t="s">
        <v>10</v>
      </c>
      <c r="D210" t="s">
        <v>27</v>
      </c>
      <c r="F210">
        <v>4</v>
      </c>
      <c r="G210" t="s">
        <v>15</v>
      </c>
      <c r="H210" s="1">
        <v>45196</v>
      </c>
      <c r="I210">
        <v>1</v>
      </c>
      <c r="J210" t="s">
        <v>527</v>
      </c>
      <c r="K210" t="s">
        <v>527</v>
      </c>
      <c r="L210" t="s">
        <v>528</v>
      </c>
      <c r="M210" t="s">
        <v>528</v>
      </c>
      <c r="N210" t="s">
        <v>528</v>
      </c>
      <c r="O210" t="s">
        <v>528</v>
      </c>
    </row>
    <row r="211" spans="1:15" x14ac:dyDescent="0.2">
      <c r="A211" t="s">
        <v>230</v>
      </c>
      <c r="B211">
        <v>72</v>
      </c>
      <c r="C211" t="s">
        <v>10</v>
      </c>
      <c r="D211" t="s">
        <v>17</v>
      </c>
      <c r="E211">
        <v>176.55</v>
      </c>
      <c r="F211">
        <v>1</v>
      </c>
      <c r="G211" t="s">
        <v>12</v>
      </c>
      <c r="H211" s="1">
        <v>42127</v>
      </c>
      <c r="I211" s="14" t="s">
        <v>544</v>
      </c>
      <c r="J211" t="s">
        <v>528</v>
      </c>
      <c r="K211" t="s">
        <v>527</v>
      </c>
      <c r="L211" t="s">
        <v>528</v>
      </c>
      <c r="M211" t="s">
        <v>528</v>
      </c>
      <c r="N211" t="s">
        <v>528</v>
      </c>
      <c r="O211" t="s">
        <v>527</v>
      </c>
    </row>
    <row r="212" spans="1:15" hidden="1" x14ac:dyDescent="0.2">
      <c r="A212" t="s">
        <v>231</v>
      </c>
      <c r="B212">
        <v>68</v>
      </c>
      <c r="C212" t="s">
        <v>26</v>
      </c>
      <c r="D212" t="s">
        <v>27</v>
      </c>
      <c r="F212">
        <v>0</v>
      </c>
      <c r="G212" t="s">
        <v>36</v>
      </c>
      <c r="H212" s="1">
        <v>42733</v>
      </c>
      <c r="I212">
        <v>9</v>
      </c>
      <c r="J212" t="s">
        <v>528</v>
      </c>
      <c r="K212" t="s">
        <v>527</v>
      </c>
      <c r="L212" t="s">
        <v>528</v>
      </c>
      <c r="M212" t="s">
        <v>528</v>
      </c>
      <c r="N212" t="s">
        <v>528</v>
      </c>
      <c r="O212" t="s">
        <v>527</v>
      </c>
    </row>
    <row r="213" spans="1:15" x14ac:dyDescent="0.2">
      <c r="A213" t="s">
        <v>232</v>
      </c>
      <c r="B213">
        <v>42</v>
      </c>
      <c r="C213" t="s">
        <v>10</v>
      </c>
      <c r="D213" t="s">
        <v>11</v>
      </c>
      <c r="E213">
        <v>411.6</v>
      </c>
      <c r="F213">
        <v>4</v>
      </c>
      <c r="G213" t="s">
        <v>15</v>
      </c>
      <c r="H213" s="1">
        <v>45662</v>
      </c>
      <c r="I213" s="14">
        <v>10</v>
      </c>
      <c r="J213" t="s">
        <v>527</v>
      </c>
      <c r="K213" t="s">
        <v>527</v>
      </c>
      <c r="L213" t="s">
        <v>528</v>
      </c>
      <c r="M213" t="s">
        <v>528</v>
      </c>
      <c r="N213" t="s">
        <v>528</v>
      </c>
      <c r="O213" t="s">
        <v>527</v>
      </c>
    </row>
    <row r="214" spans="1:15" x14ac:dyDescent="0.2">
      <c r="A214" t="s">
        <v>233</v>
      </c>
      <c r="B214">
        <v>64</v>
      </c>
      <c r="C214" t="s">
        <v>10</v>
      </c>
      <c r="D214" t="s">
        <v>11</v>
      </c>
      <c r="E214">
        <v>187.58</v>
      </c>
      <c r="F214">
        <v>2</v>
      </c>
      <c r="G214" t="s">
        <v>20</v>
      </c>
      <c r="H214" s="1">
        <v>44903</v>
      </c>
      <c r="I214" s="14">
        <v>9</v>
      </c>
      <c r="J214" t="s">
        <v>527</v>
      </c>
      <c r="K214" t="s">
        <v>527</v>
      </c>
      <c r="L214" t="s">
        <v>528</v>
      </c>
      <c r="M214" t="s">
        <v>528</v>
      </c>
      <c r="N214" t="s">
        <v>528</v>
      </c>
      <c r="O214" t="s">
        <v>527</v>
      </c>
    </row>
    <row r="215" spans="1:15" x14ac:dyDescent="0.2">
      <c r="A215" t="s">
        <v>234</v>
      </c>
      <c r="B215">
        <v>28</v>
      </c>
      <c r="C215" t="s">
        <v>10</v>
      </c>
      <c r="D215" t="s">
        <v>27</v>
      </c>
      <c r="E215">
        <v>84.61</v>
      </c>
      <c r="F215">
        <v>2</v>
      </c>
      <c r="G215" t="s">
        <v>20</v>
      </c>
      <c r="H215" s="1">
        <v>45134</v>
      </c>
      <c r="I215" s="14">
        <v>10</v>
      </c>
      <c r="J215" t="s">
        <v>527</v>
      </c>
      <c r="K215" t="s">
        <v>527</v>
      </c>
      <c r="L215" t="s">
        <v>528</v>
      </c>
      <c r="M215" t="s">
        <v>528</v>
      </c>
      <c r="N215" t="s">
        <v>528</v>
      </c>
      <c r="O215" t="s">
        <v>528</v>
      </c>
    </row>
    <row r="216" spans="1:15" x14ac:dyDescent="0.2">
      <c r="A216" t="s">
        <v>235</v>
      </c>
      <c r="B216">
        <v>42</v>
      </c>
      <c r="C216" t="s">
        <v>26</v>
      </c>
      <c r="D216" t="s">
        <v>17</v>
      </c>
      <c r="E216">
        <v>218.48</v>
      </c>
      <c r="F216">
        <v>4</v>
      </c>
      <c r="G216" t="s">
        <v>20</v>
      </c>
      <c r="H216" s="1">
        <v>44808</v>
      </c>
      <c r="I216" s="14">
        <v>8</v>
      </c>
      <c r="J216" t="s">
        <v>527</v>
      </c>
      <c r="K216" t="s">
        <v>527</v>
      </c>
      <c r="L216" t="s">
        <v>528</v>
      </c>
      <c r="M216" t="s">
        <v>528</v>
      </c>
      <c r="N216" t="s">
        <v>528</v>
      </c>
      <c r="O216" t="s">
        <v>527</v>
      </c>
    </row>
    <row r="217" spans="1:15" x14ac:dyDescent="0.2">
      <c r="A217" t="s">
        <v>236</v>
      </c>
      <c r="B217">
        <v>39</v>
      </c>
      <c r="C217" t="s">
        <v>10</v>
      </c>
      <c r="D217" t="s">
        <v>27</v>
      </c>
      <c r="E217">
        <v>417</v>
      </c>
      <c r="F217">
        <v>0</v>
      </c>
      <c r="G217" t="s">
        <v>20</v>
      </c>
      <c r="H217" s="1">
        <v>45020</v>
      </c>
      <c r="I217" s="14" t="s">
        <v>544</v>
      </c>
      <c r="J217" t="s">
        <v>527</v>
      </c>
      <c r="K217" t="s">
        <v>527</v>
      </c>
      <c r="L217" t="s">
        <v>528</v>
      </c>
      <c r="M217" t="s">
        <v>528</v>
      </c>
      <c r="N217" t="s">
        <v>528</v>
      </c>
      <c r="O217" t="s">
        <v>527</v>
      </c>
    </row>
    <row r="218" spans="1:15" x14ac:dyDescent="0.2">
      <c r="A218" t="s">
        <v>237</v>
      </c>
      <c r="B218">
        <v>29</v>
      </c>
      <c r="C218" t="s">
        <v>26</v>
      </c>
      <c r="D218" t="s">
        <v>27</v>
      </c>
      <c r="E218">
        <v>57.44</v>
      </c>
      <c r="F218">
        <v>4</v>
      </c>
      <c r="G218" t="s">
        <v>15</v>
      </c>
      <c r="H218" s="1">
        <v>43009</v>
      </c>
      <c r="I218" s="14">
        <v>6</v>
      </c>
      <c r="J218" t="s">
        <v>528</v>
      </c>
      <c r="K218" t="s">
        <v>527</v>
      </c>
      <c r="L218" t="s">
        <v>528</v>
      </c>
      <c r="M218" t="s">
        <v>528</v>
      </c>
      <c r="N218" t="s">
        <v>528</v>
      </c>
      <c r="O218" t="s">
        <v>527</v>
      </c>
    </row>
    <row r="219" spans="1:15" hidden="1" x14ac:dyDescent="0.2">
      <c r="A219" t="s">
        <v>238</v>
      </c>
      <c r="B219">
        <v>29</v>
      </c>
      <c r="C219" t="s">
        <v>26</v>
      </c>
      <c r="D219" t="s">
        <v>17</v>
      </c>
      <c r="F219">
        <v>2</v>
      </c>
      <c r="G219" t="s">
        <v>20</v>
      </c>
      <c r="H219" s="1">
        <v>42546</v>
      </c>
      <c r="I219">
        <v>1</v>
      </c>
      <c r="J219" t="s">
        <v>527</v>
      </c>
      <c r="K219" t="s">
        <v>527</v>
      </c>
      <c r="L219" t="s">
        <v>528</v>
      </c>
      <c r="M219" t="s">
        <v>528</v>
      </c>
      <c r="N219" t="s">
        <v>528</v>
      </c>
      <c r="O219" t="s">
        <v>527</v>
      </c>
    </row>
    <row r="220" spans="1:15" x14ac:dyDescent="0.2">
      <c r="A220" t="s">
        <v>239</v>
      </c>
      <c r="B220">
        <v>59</v>
      </c>
      <c r="C220" t="s">
        <v>23</v>
      </c>
      <c r="D220" t="s">
        <v>27</v>
      </c>
      <c r="E220">
        <v>490.64</v>
      </c>
      <c r="F220">
        <v>4</v>
      </c>
      <c r="G220" t="s">
        <v>15</v>
      </c>
      <c r="H220" s="1">
        <v>45394</v>
      </c>
      <c r="I220" s="14">
        <v>2</v>
      </c>
      <c r="J220" t="s">
        <v>527</v>
      </c>
      <c r="K220" t="s">
        <v>527</v>
      </c>
      <c r="L220" t="s">
        <v>528</v>
      </c>
      <c r="M220" t="s">
        <v>528</v>
      </c>
      <c r="N220" t="s">
        <v>528</v>
      </c>
      <c r="O220" t="s">
        <v>527</v>
      </c>
    </row>
    <row r="221" spans="1:15" x14ac:dyDescent="0.2">
      <c r="A221" t="s">
        <v>240</v>
      </c>
      <c r="B221">
        <v>75</v>
      </c>
      <c r="C221" t="s">
        <v>10</v>
      </c>
      <c r="D221" t="s">
        <v>27</v>
      </c>
      <c r="E221">
        <v>392.24</v>
      </c>
      <c r="F221">
        <v>1</v>
      </c>
      <c r="G221" t="s">
        <v>15</v>
      </c>
      <c r="H221" s="1">
        <v>42416</v>
      </c>
      <c r="I221" s="14">
        <v>3</v>
      </c>
      <c r="J221" t="s">
        <v>527</v>
      </c>
      <c r="K221" t="s">
        <v>528</v>
      </c>
      <c r="L221" t="s">
        <v>527</v>
      </c>
      <c r="M221" t="s">
        <v>528</v>
      </c>
      <c r="N221" t="s">
        <v>528</v>
      </c>
      <c r="O221" t="s">
        <v>527</v>
      </c>
    </row>
    <row r="222" spans="1:15" x14ac:dyDescent="0.2">
      <c r="A222" t="s">
        <v>241</v>
      </c>
      <c r="B222">
        <v>44</v>
      </c>
      <c r="C222" t="s">
        <v>544</v>
      </c>
      <c r="D222" t="s">
        <v>11</v>
      </c>
      <c r="E222">
        <v>383.03</v>
      </c>
      <c r="F222">
        <v>4</v>
      </c>
      <c r="G222" t="s">
        <v>36</v>
      </c>
      <c r="H222" s="1">
        <v>42374</v>
      </c>
      <c r="I222" s="14">
        <v>5</v>
      </c>
      <c r="J222" t="s">
        <v>527</v>
      </c>
      <c r="K222" t="s">
        <v>527</v>
      </c>
      <c r="L222" t="s">
        <v>528</v>
      </c>
      <c r="M222" t="s">
        <v>528</v>
      </c>
      <c r="N222" t="s">
        <v>528</v>
      </c>
      <c r="O222" t="s">
        <v>528</v>
      </c>
    </row>
    <row r="223" spans="1:15" x14ac:dyDescent="0.2">
      <c r="A223" t="s">
        <v>242</v>
      </c>
      <c r="B223">
        <v>19</v>
      </c>
      <c r="C223" t="s">
        <v>23</v>
      </c>
      <c r="D223" t="s">
        <v>17</v>
      </c>
      <c r="E223">
        <v>433.62</v>
      </c>
      <c r="F223">
        <v>4</v>
      </c>
      <c r="G223" t="s">
        <v>20</v>
      </c>
      <c r="H223" s="1">
        <v>45068</v>
      </c>
      <c r="I223" s="14">
        <v>6</v>
      </c>
      <c r="J223" t="s">
        <v>527</v>
      </c>
      <c r="K223" t="s">
        <v>527</v>
      </c>
      <c r="L223" t="s">
        <v>528</v>
      </c>
      <c r="M223" t="s">
        <v>528</v>
      </c>
      <c r="N223" t="s">
        <v>528</v>
      </c>
      <c r="O223" t="s">
        <v>527</v>
      </c>
    </row>
    <row r="224" spans="1:15" x14ac:dyDescent="0.2">
      <c r="A224" t="s">
        <v>243</v>
      </c>
      <c r="B224">
        <v>28</v>
      </c>
      <c r="C224" t="s">
        <v>10</v>
      </c>
      <c r="D224" t="s">
        <v>17</v>
      </c>
      <c r="E224">
        <v>155.19999999999999</v>
      </c>
      <c r="F224">
        <v>3</v>
      </c>
      <c r="G224" t="s">
        <v>15</v>
      </c>
      <c r="H224" s="1">
        <v>42912</v>
      </c>
      <c r="I224" s="14">
        <v>5</v>
      </c>
      <c r="J224" t="s">
        <v>528</v>
      </c>
      <c r="K224" t="s">
        <v>527</v>
      </c>
      <c r="L224" t="s">
        <v>528</v>
      </c>
      <c r="M224" t="s">
        <v>528</v>
      </c>
      <c r="N224" t="s">
        <v>528</v>
      </c>
      <c r="O224" t="s">
        <v>527</v>
      </c>
    </row>
    <row r="225" spans="1:15" x14ac:dyDescent="0.2">
      <c r="A225" t="s">
        <v>244</v>
      </c>
      <c r="B225">
        <v>53</v>
      </c>
      <c r="C225" t="s">
        <v>26</v>
      </c>
      <c r="D225" t="s">
        <v>27</v>
      </c>
      <c r="E225">
        <v>232.27</v>
      </c>
      <c r="F225">
        <v>0</v>
      </c>
      <c r="G225" t="s">
        <v>20</v>
      </c>
      <c r="H225" s="1">
        <v>45241</v>
      </c>
      <c r="I225" s="14">
        <v>1</v>
      </c>
      <c r="J225" t="s">
        <v>527</v>
      </c>
      <c r="K225" t="s">
        <v>527</v>
      </c>
      <c r="L225" t="s">
        <v>528</v>
      </c>
      <c r="M225" t="s">
        <v>528</v>
      </c>
      <c r="N225" t="s">
        <v>528</v>
      </c>
      <c r="O225" t="s">
        <v>527</v>
      </c>
    </row>
    <row r="226" spans="1:15" x14ac:dyDescent="0.2">
      <c r="A226" t="s">
        <v>245</v>
      </c>
      <c r="B226">
        <v>36</v>
      </c>
      <c r="C226" t="s">
        <v>10</v>
      </c>
      <c r="D226" t="s">
        <v>17</v>
      </c>
      <c r="E226">
        <v>143.61000000000001</v>
      </c>
      <c r="F226">
        <v>3</v>
      </c>
      <c r="G226" t="s">
        <v>20</v>
      </c>
      <c r="H226" s="1">
        <v>42105</v>
      </c>
      <c r="I226" s="14">
        <v>7</v>
      </c>
      <c r="J226" t="s">
        <v>528</v>
      </c>
      <c r="K226" t="s">
        <v>527</v>
      </c>
      <c r="L226" t="s">
        <v>528</v>
      </c>
      <c r="M226" t="s">
        <v>528</v>
      </c>
      <c r="N226" t="s">
        <v>528</v>
      </c>
      <c r="O226" t="s">
        <v>528</v>
      </c>
    </row>
    <row r="227" spans="1:15" x14ac:dyDescent="0.2">
      <c r="A227" t="s">
        <v>246</v>
      </c>
      <c r="B227">
        <v>73</v>
      </c>
      <c r="C227" t="s">
        <v>26</v>
      </c>
      <c r="D227" t="s">
        <v>11</v>
      </c>
      <c r="E227">
        <v>104</v>
      </c>
      <c r="F227">
        <v>0</v>
      </c>
      <c r="G227" t="s">
        <v>15</v>
      </c>
      <c r="H227" s="1">
        <v>42516</v>
      </c>
      <c r="I227" s="14">
        <v>7</v>
      </c>
      <c r="J227" t="s">
        <v>528</v>
      </c>
      <c r="K227" t="s">
        <v>527</v>
      </c>
      <c r="L227" t="s">
        <v>528</v>
      </c>
      <c r="M227" t="s">
        <v>528</v>
      </c>
      <c r="N227" t="s">
        <v>528</v>
      </c>
      <c r="O227" t="s">
        <v>528</v>
      </c>
    </row>
    <row r="228" spans="1:15" hidden="1" x14ac:dyDescent="0.2">
      <c r="A228" t="s">
        <v>247</v>
      </c>
      <c r="B228">
        <v>25</v>
      </c>
      <c r="C228" t="s">
        <v>23</v>
      </c>
      <c r="D228" t="s">
        <v>17</v>
      </c>
      <c r="F228">
        <v>1</v>
      </c>
      <c r="G228" t="s">
        <v>20</v>
      </c>
      <c r="H228" s="1">
        <v>44603</v>
      </c>
      <c r="I228">
        <v>8</v>
      </c>
      <c r="J228" t="s">
        <v>528</v>
      </c>
      <c r="K228" t="s">
        <v>527</v>
      </c>
      <c r="L228" t="s">
        <v>528</v>
      </c>
      <c r="M228" t="s">
        <v>528</v>
      </c>
      <c r="N228" t="s">
        <v>528</v>
      </c>
      <c r="O228" t="s">
        <v>527</v>
      </c>
    </row>
    <row r="229" spans="1:15" x14ac:dyDescent="0.2">
      <c r="A229" t="s">
        <v>248</v>
      </c>
      <c r="B229">
        <v>68</v>
      </c>
      <c r="C229" t="s">
        <v>10</v>
      </c>
      <c r="D229" t="s">
        <v>11</v>
      </c>
      <c r="E229">
        <v>120.21</v>
      </c>
      <c r="F229">
        <v>2</v>
      </c>
      <c r="G229" t="s">
        <v>20</v>
      </c>
      <c r="H229" s="1">
        <v>42272</v>
      </c>
      <c r="I229" s="14">
        <v>6</v>
      </c>
      <c r="J229" t="s">
        <v>528</v>
      </c>
      <c r="K229" t="s">
        <v>527</v>
      </c>
      <c r="L229" t="s">
        <v>528</v>
      </c>
      <c r="M229" t="s">
        <v>528</v>
      </c>
      <c r="N229" t="s">
        <v>528</v>
      </c>
      <c r="O229" t="s">
        <v>527</v>
      </c>
    </row>
    <row r="230" spans="1:15" x14ac:dyDescent="0.2">
      <c r="A230" t="s">
        <v>249</v>
      </c>
      <c r="B230">
        <v>37</v>
      </c>
      <c r="C230" t="s">
        <v>23</v>
      </c>
      <c r="D230" t="s">
        <v>11</v>
      </c>
      <c r="E230">
        <v>331.46</v>
      </c>
      <c r="F230">
        <v>4</v>
      </c>
      <c r="G230" t="s">
        <v>36</v>
      </c>
      <c r="H230" s="1">
        <v>42270</v>
      </c>
      <c r="I230" s="14">
        <v>10</v>
      </c>
      <c r="J230" t="s">
        <v>527</v>
      </c>
      <c r="K230" t="s">
        <v>527</v>
      </c>
      <c r="L230" t="s">
        <v>528</v>
      </c>
      <c r="M230" t="s">
        <v>528</v>
      </c>
      <c r="N230" t="s">
        <v>528</v>
      </c>
      <c r="O230" t="s">
        <v>527</v>
      </c>
    </row>
    <row r="231" spans="1:15" x14ac:dyDescent="0.2">
      <c r="A231" t="s">
        <v>250</v>
      </c>
      <c r="B231">
        <v>43</v>
      </c>
      <c r="C231" t="s">
        <v>10</v>
      </c>
      <c r="D231" t="s">
        <v>17</v>
      </c>
      <c r="E231">
        <v>266.41000000000003</v>
      </c>
      <c r="F231">
        <v>4</v>
      </c>
      <c r="G231" t="s">
        <v>20</v>
      </c>
      <c r="H231" s="1">
        <v>45657</v>
      </c>
      <c r="I231" s="14">
        <v>9</v>
      </c>
      <c r="J231" t="s">
        <v>527</v>
      </c>
      <c r="K231" t="s">
        <v>527</v>
      </c>
      <c r="L231" t="s">
        <v>528</v>
      </c>
      <c r="M231" t="s">
        <v>528</v>
      </c>
      <c r="N231" t="s">
        <v>528</v>
      </c>
      <c r="O231" t="s">
        <v>528</v>
      </c>
    </row>
    <row r="232" spans="1:15" x14ac:dyDescent="0.2">
      <c r="A232" t="s">
        <v>251</v>
      </c>
      <c r="B232">
        <v>62</v>
      </c>
      <c r="C232" t="s">
        <v>26</v>
      </c>
      <c r="D232" t="s">
        <v>11</v>
      </c>
      <c r="E232">
        <v>356.24</v>
      </c>
      <c r="F232">
        <v>0</v>
      </c>
      <c r="G232" t="s">
        <v>20</v>
      </c>
      <c r="H232" s="1">
        <v>43219</v>
      </c>
      <c r="I232" s="14">
        <v>5</v>
      </c>
      <c r="J232" t="s">
        <v>527</v>
      </c>
      <c r="K232" t="s">
        <v>527</v>
      </c>
      <c r="L232" t="s">
        <v>528</v>
      </c>
      <c r="M232" t="s">
        <v>528</v>
      </c>
      <c r="N232" t="s">
        <v>528</v>
      </c>
      <c r="O232" t="s">
        <v>527</v>
      </c>
    </row>
    <row r="233" spans="1:15" x14ac:dyDescent="0.2">
      <c r="A233" t="s">
        <v>252</v>
      </c>
      <c r="B233">
        <v>63</v>
      </c>
      <c r="C233" t="s">
        <v>10</v>
      </c>
      <c r="D233" t="s">
        <v>11</v>
      </c>
      <c r="E233">
        <v>479.55</v>
      </c>
      <c r="F233">
        <v>4</v>
      </c>
      <c r="G233" t="s">
        <v>15</v>
      </c>
      <c r="H233" s="1">
        <v>44919</v>
      </c>
      <c r="I233" s="14">
        <v>10</v>
      </c>
      <c r="J233" t="s">
        <v>527</v>
      </c>
      <c r="K233" t="s">
        <v>528</v>
      </c>
      <c r="L233" t="s">
        <v>527</v>
      </c>
      <c r="M233" t="s">
        <v>527</v>
      </c>
      <c r="N233" t="s">
        <v>528</v>
      </c>
      <c r="O233" t="s">
        <v>528</v>
      </c>
    </row>
    <row r="234" spans="1:15" x14ac:dyDescent="0.2">
      <c r="A234" t="s">
        <v>253</v>
      </c>
      <c r="B234">
        <v>53</v>
      </c>
      <c r="C234" t="s">
        <v>26</v>
      </c>
      <c r="D234" t="s">
        <v>11</v>
      </c>
      <c r="E234">
        <v>280.05</v>
      </c>
      <c r="F234">
        <v>2</v>
      </c>
      <c r="G234" t="s">
        <v>20</v>
      </c>
      <c r="H234" s="1">
        <v>44293</v>
      </c>
      <c r="I234" s="14">
        <v>10</v>
      </c>
      <c r="J234" t="s">
        <v>527</v>
      </c>
      <c r="K234" t="s">
        <v>527</v>
      </c>
      <c r="L234" t="s">
        <v>528</v>
      </c>
      <c r="M234" t="s">
        <v>528</v>
      </c>
      <c r="N234" t="s">
        <v>528</v>
      </c>
      <c r="O234" t="s">
        <v>527</v>
      </c>
    </row>
    <row r="235" spans="1:15" x14ac:dyDescent="0.2">
      <c r="A235" t="s">
        <v>254</v>
      </c>
      <c r="B235">
        <v>69</v>
      </c>
      <c r="C235" t="s">
        <v>10</v>
      </c>
      <c r="D235" t="s">
        <v>11</v>
      </c>
      <c r="E235">
        <v>442.35</v>
      </c>
      <c r="F235">
        <v>0</v>
      </c>
      <c r="G235" t="s">
        <v>12</v>
      </c>
      <c r="H235" s="1">
        <v>43967</v>
      </c>
      <c r="I235" s="14">
        <v>9</v>
      </c>
      <c r="J235" t="s">
        <v>527</v>
      </c>
      <c r="K235" t="s">
        <v>528</v>
      </c>
      <c r="L235" t="s">
        <v>527</v>
      </c>
      <c r="M235" t="s">
        <v>528</v>
      </c>
      <c r="N235" t="s">
        <v>528</v>
      </c>
      <c r="O235" t="s">
        <v>527</v>
      </c>
    </row>
    <row r="236" spans="1:15" x14ac:dyDescent="0.2">
      <c r="A236" t="s">
        <v>255</v>
      </c>
      <c r="B236">
        <v>42</v>
      </c>
      <c r="C236" t="s">
        <v>10</v>
      </c>
      <c r="D236" t="s">
        <v>17</v>
      </c>
      <c r="E236">
        <v>413.2</v>
      </c>
      <c r="F236">
        <v>4</v>
      </c>
      <c r="G236" t="s">
        <v>20</v>
      </c>
      <c r="H236" s="1">
        <v>44158</v>
      </c>
      <c r="I236" s="14">
        <v>2</v>
      </c>
      <c r="J236" t="s">
        <v>527</v>
      </c>
      <c r="K236" t="s">
        <v>527</v>
      </c>
      <c r="L236" t="s">
        <v>528</v>
      </c>
      <c r="M236" t="s">
        <v>528</v>
      </c>
      <c r="N236" t="s">
        <v>528</v>
      </c>
      <c r="O236" t="s">
        <v>527</v>
      </c>
    </row>
    <row r="237" spans="1:15" x14ac:dyDescent="0.2">
      <c r="A237" t="s">
        <v>256</v>
      </c>
      <c r="B237">
        <v>20</v>
      </c>
      <c r="C237" t="s">
        <v>10</v>
      </c>
      <c r="D237" t="s">
        <v>11</v>
      </c>
      <c r="E237">
        <v>109.01</v>
      </c>
      <c r="F237">
        <v>4</v>
      </c>
      <c r="G237" t="s">
        <v>20</v>
      </c>
      <c r="H237" s="1">
        <v>45387</v>
      </c>
      <c r="I237" s="14">
        <v>5</v>
      </c>
      <c r="J237" t="s">
        <v>528</v>
      </c>
      <c r="K237" t="s">
        <v>527</v>
      </c>
      <c r="L237" t="s">
        <v>528</v>
      </c>
      <c r="M237" t="s">
        <v>528</v>
      </c>
      <c r="N237" t="s">
        <v>528</v>
      </c>
      <c r="O237" t="s">
        <v>527</v>
      </c>
    </row>
    <row r="238" spans="1:15" x14ac:dyDescent="0.2">
      <c r="A238" t="s">
        <v>257</v>
      </c>
      <c r="B238">
        <v>45</v>
      </c>
      <c r="C238" t="s">
        <v>23</v>
      </c>
      <c r="D238" t="s">
        <v>17</v>
      </c>
      <c r="E238">
        <v>322.05</v>
      </c>
      <c r="F238">
        <v>1</v>
      </c>
      <c r="G238" t="s">
        <v>15</v>
      </c>
      <c r="H238" s="1">
        <v>42916</v>
      </c>
      <c r="I238" s="14">
        <v>7</v>
      </c>
      <c r="J238" t="s">
        <v>527</v>
      </c>
      <c r="K238" t="s">
        <v>527</v>
      </c>
      <c r="L238" t="s">
        <v>528</v>
      </c>
      <c r="M238" t="s">
        <v>528</v>
      </c>
      <c r="N238" t="s">
        <v>528</v>
      </c>
      <c r="O238" t="s">
        <v>528</v>
      </c>
    </row>
    <row r="239" spans="1:15" x14ac:dyDescent="0.2">
      <c r="A239" t="s">
        <v>258</v>
      </c>
      <c r="B239">
        <v>36</v>
      </c>
      <c r="C239" t="s">
        <v>26</v>
      </c>
      <c r="D239" t="s">
        <v>17</v>
      </c>
      <c r="E239">
        <v>309.83999999999997</v>
      </c>
      <c r="F239">
        <v>3</v>
      </c>
      <c r="G239" t="s">
        <v>36</v>
      </c>
      <c r="H239" s="1">
        <v>43180</v>
      </c>
      <c r="I239" s="14">
        <v>4</v>
      </c>
      <c r="J239" t="s">
        <v>527</v>
      </c>
      <c r="K239" t="s">
        <v>527</v>
      </c>
      <c r="L239" t="s">
        <v>528</v>
      </c>
      <c r="M239" t="s">
        <v>528</v>
      </c>
      <c r="N239" t="s">
        <v>528</v>
      </c>
      <c r="O239" t="s">
        <v>527</v>
      </c>
    </row>
    <row r="240" spans="1:15" x14ac:dyDescent="0.2">
      <c r="A240" t="s">
        <v>259</v>
      </c>
      <c r="B240">
        <v>53</v>
      </c>
      <c r="C240" t="s">
        <v>26</v>
      </c>
      <c r="D240" t="s">
        <v>27</v>
      </c>
      <c r="E240">
        <v>116.08</v>
      </c>
      <c r="F240">
        <v>3</v>
      </c>
      <c r="G240" t="s">
        <v>36</v>
      </c>
      <c r="H240" s="1">
        <v>44489</v>
      </c>
      <c r="I240" s="14">
        <v>4</v>
      </c>
      <c r="J240" t="s">
        <v>527</v>
      </c>
      <c r="K240" t="s">
        <v>527</v>
      </c>
      <c r="L240" t="s">
        <v>528</v>
      </c>
      <c r="M240" t="s">
        <v>528</v>
      </c>
      <c r="N240" t="s">
        <v>528</v>
      </c>
      <c r="O240" t="s">
        <v>527</v>
      </c>
    </row>
    <row r="241" spans="1:15" x14ac:dyDescent="0.2">
      <c r="A241" t="s">
        <v>260</v>
      </c>
      <c r="B241">
        <v>71</v>
      </c>
      <c r="C241" t="s">
        <v>23</v>
      </c>
      <c r="D241" t="s">
        <v>17</v>
      </c>
      <c r="E241">
        <v>416.9</v>
      </c>
      <c r="F241">
        <v>4</v>
      </c>
      <c r="G241" t="s">
        <v>20</v>
      </c>
      <c r="H241" s="1">
        <v>42375</v>
      </c>
      <c r="I241" s="14">
        <v>1</v>
      </c>
      <c r="J241" t="s">
        <v>527</v>
      </c>
      <c r="K241" t="s">
        <v>527</v>
      </c>
      <c r="L241" t="s">
        <v>528</v>
      </c>
      <c r="M241" t="s">
        <v>528</v>
      </c>
      <c r="N241" t="s">
        <v>528</v>
      </c>
      <c r="O241" t="s">
        <v>527</v>
      </c>
    </row>
    <row r="242" spans="1:15" x14ac:dyDescent="0.2">
      <c r="A242" t="s">
        <v>261</v>
      </c>
      <c r="B242">
        <v>24</v>
      </c>
      <c r="C242" t="s">
        <v>26</v>
      </c>
      <c r="D242" t="s">
        <v>27</v>
      </c>
      <c r="E242">
        <v>50.34</v>
      </c>
      <c r="F242">
        <v>0</v>
      </c>
      <c r="G242" t="s">
        <v>20</v>
      </c>
      <c r="H242" s="1">
        <v>42252</v>
      </c>
      <c r="I242" s="14">
        <v>1</v>
      </c>
      <c r="J242" t="s">
        <v>527</v>
      </c>
      <c r="K242" t="s">
        <v>527</v>
      </c>
      <c r="L242" t="s">
        <v>528</v>
      </c>
      <c r="M242" t="s">
        <v>528</v>
      </c>
      <c r="N242" t="s">
        <v>528</v>
      </c>
      <c r="O242" t="s">
        <v>527</v>
      </c>
    </row>
    <row r="243" spans="1:15" x14ac:dyDescent="0.2">
      <c r="A243" t="s">
        <v>262</v>
      </c>
      <c r="B243">
        <v>25</v>
      </c>
      <c r="C243" t="s">
        <v>26</v>
      </c>
      <c r="D243" t="s">
        <v>27</v>
      </c>
      <c r="E243">
        <v>456.89</v>
      </c>
      <c r="F243">
        <v>2</v>
      </c>
      <c r="G243" t="s">
        <v>12</v>
      </c>
      <c r="H243" s="1">
        <v>43285</v>
      </c>
      <c r="I243" s="14" t="s">
        <v>544</v>
      </c>
      <c r="J243" t="s">
        <v>527</v>
      </c>
      <c r="K243" t="s">
        <v>528</v>
      </c>
      <c r="L243" t="s">
        <v>527</v>
      </c>
      <c r="M243" t="s">
        <v>528</v>
      </c>
      <c r="N243" t="s">
        <v>528</v>
      </c>
      <c r="O243" t="s">
        <v>527</v>
      </c>
    </row>
    <row r="244" spans="1:15" x14ac:dyDescent="0.2">
      <c r="A244" t="s">
        <v>263</v>
      </c>
      <c r="B244">
        <v>73</v>
      </c>
      <c r="C244" t="s">
        <v>26</v>
      </c>
      <c r="D244" t="s">
        <v>27</v>
      </c>
      <c r="E244">
        <v>172.66</v>
      </c>
      <c r="F244">
        <v>2</v>
      </c>
      <c r="G244" t="s">
        <v>15</v>
      </c>
      <c r="H244" s="1">
        <v>45126</v>
      </c>
      <c r="I244" s="14">
        <v>5</v>
      </c>
      <c r="J244" t="s">
        <v>528</v>
      </c>
      <c r="K244" t="s">
        <v>527</v>
      </c>
      <c r="L244" t="s">
        <v>528</v>
      </c>
      <c r="M244" t="s">
        <v>528</v>
      </c>
      <c r="N244" t="s">
        <v>528</v>
      </c>
      <c r="O244" t="s">
        <v>527</v>
      </c>
    </row>
    <row r="245" spans="1:15" x14ac:dyDescent="0.2">
      <c r="A245" t="s">
        <v>264</v>
      </c>
      <c r="B245">
        <v>79</v>
      </c>
      <c r="C245" t="s">
        <v>26</v>
      </c>
      <c r="D245" t="s">
        <v>17</v>
      </c>
      <c r="E245">
        <v>88.72</v>
      </c>
      <c r="F245">
        <v>2</v>
      </c>
      <c r="G245" t="s">
        <v>20</v>
      </c>
      <c r="H245" s="1">
        <v>43735</v>
      </c>
      <c r="I245" s="14" t="s">
        <v>544</v>
      </c>
      <c r="J245" t="s">
        <v>527</v>
      </c>
      <c r="K245" t="s">
        <v>527</v>
      </c>
      <c r="L245" t="s">
        <v>528</v>
      </c>
      <c r="M245" t="s">
        <v>528</v>
      </c>
      <c r="N245" t="s">
        <v>528</v>
      </c>
      <c r="O245" t="s">
        <v>527</v>
      </c>
    </row>
    <row r="246" spans="1:15" x14ac:dyDescent="0.2">
      <c r="A246" t="s">
        <v>265</v>
      </c>
      <c r="B246">
        <v>58</v>
      </c>
      <c r="C246" t="s">
        <v>10</v>
      </c>
      <c r="D246" t="s">
        <v>27</v>
      </c>
      <c r="E246">
        <v>99.34</v>
      </c>
      <c r="F246">
        <v>4</v>
      </c>
      <c r="G246" t="s">
        <v>36</v>
      </c>
      <c r="H246" s="1">
        <v>43167</v>
      </c>
      <c r="I246" s="14">
        <v>6</v>
      </c>
      <c r="J246" t="s">
        <v>527</v>
      </c>
      <c r="K246" t="s">
        <v>527</v>
      </c>
      <c r="L246" t="s">
        <v>528</v>
      </c>
      <c r="M246" t="s">
        <v>528</v>
      </c>
      <c r="N246" t="s">
        <v>528</v>
      </c>
      <c r="O246" t="s">
        <v>527</v>
      </c>
    </row>
    <row r="247" spans="1:15" x14ac:dyDescent="0.2">
      <c r="A247" t="s">
        <v>266</v>
      </c>
      <c r="B247">
        <v>76</v>
      </c>
      <c r="C247" t="s">
        <v>26</v>
      </c>
      <c r="D247" t="s">
        <v>17</v>
      </c>
      <c r="E247">
        <v>207.57</v>
      </c>
      <c r="F247">
        <v>0</v>
      </c>
      <c r="G247" t="s">
        <v>20</v>
      </c>
      <c r="H247" s="1">
        <v>44789</v>
      </c>
      <c r="I247" s="14">
        <v>2</v>
      </c>
      <c r="J247" t="s">
        <v>527</v>
      </c>
      <c r="K247" t="s">
        <v>527</v>
      </c>
      <c r="L247" t="s">
        <v>528</v>
      </c>
      <c r="M247" t="s">
        <v>528</v>
      </c>
      <c r="N247" t="s">
        <v>528</v>
      </c>
      <c r="O247" t="s">
        <v>527</v>
      </c>
    </row>
    <row r="248" spans="1:15" x14ac:dyDescent="0.2">
      <c r="A248" t="s">
        <v>267</v>
      </c>
      <c r="B248">
        <v>45</v>
      </c>
      <c r="C248" t="s">
        <v>10</v>
      </c>
      <c r="D248" t="s">
        <v>11</v>
      </c>
      <c r="E248">
        <v>359.62</v>
      </c>
      <c r="F248">
        <v>0</v>
      </c>
      <c r="G248" t="s">
        <v>36</v>
      </c>
      <c r="H248" s="1">
        <v>45473</v>
      </c>
      <c r="I248" s="14">
        <v>6</v>
      </c>
      <c r="J248" t="s">
        <v>527</v>
      </c>
      <c r="K248" t="s">
        <v>527</v>
      </c>
      <c r="L248" t="s">
        <v>528</v>
      </c>
      <c r="M248" t="s">
        <v>528</v>
      </c>
      <c r="N248" t="s">
        <v>528</v>
      </c>
      <c r="O248" t="s">
        <v>527</v>
      </c>
    </row>
    <row r="249" spans="1:15" x14ac:dyDescent="0.2">
      <c r="A249" t="s">
        <v>268</v>
      </c>
      <c r="B249">
        <v>52</v>
      </c>
      <c r="C249" t="s">
        <v>10</v>
      </c>
      <c r="D249" t="s">
        <v>11</v>
      </c>
      <c r="E249">
        <v>354.46</v>
      </c>
      <c r="F249">
        <v>1</v>
      </c>
      <c r="G249" t="s">
        <v>20</v>
      </c>
      <c r="H249" s="1">
        <v>45245</v>
      </c>
      <c r="I249" s="14">
        <v>8</v>
      </c>
      <c r="J249" t="s">
        <v>527</v>
      </c>
      <c r="K249" t="s">
        <v>527</v>
      </c>
      <c r="L249" t="s">
        <v>528</v>
      </c>
      <c r="M249" t="s">
        <v>528</v>
      </c>
      <c r="N249" t="s">
        <v>528</v>
      </c>
      <c r="O249" t="s">
        <v>527</v>
      </c>
    </row>
    <row r="250" spans="1:15" x14ac:dyDescent="0.2">
      <c r="A250" t="s">
        <v>269</v>
      </c>
      <c r="B250">
        <v>66</v>
      </c>
      <c r="C250" t="s">
        <v>10</v>
      </c>
      <c r="D250" t="s">
        <v>11</v>
      </c>
      <c r="E250">
        <v>154.27000000000001</v>
      </c>
      <c r="F250">
        <v>1</v>
      </c>
      <c r="G250" t="s">
        <v>15</v>
      </c>
      <c r="H250" s="1">
        <v>42364</v>
      </c>
      <c r="I250" s="14">
        <v>2</v>
      </c>
      <c r="J250" t="s">
        <v>528</v>
      </c>
      <c r="K250" t="s">
        <v>528</v>
      </c>
      <c r="L250" t="s">
        <v>527</v>
      </c>
      <c r="M250" t="s">
        <v>528</v>
      </c>
      <c r="N250" t="s">
        <v>528</v>
      </c>
      <c r="O250" t="s">
        <v>527</v>
      </c>
    </row>
    <row r="251" spans="1:15" x14ac:dyDescent="0.2">
      <c r="A251" t="s">
        <v>270</v>
      </c>
      <c r="B251">
        <v>19</v>
      </c>
      <c r="C251" t="s">
        <v>544</v>
      </c>
      <c r="D251" t="s">
        <v>17</v>
      </c>
      <c r="E251">
        <v>434.02</v>
      </c>
      <c r="F251">
        <v>0</v>
      </c>
      <c r="G251" t="s">
        <v>15</v>
      </c>
      <c r="H251" s="1">
        <v>45467</v>
      </c>
      <c r="I251" s="14">
        <v>4</v>
      </c>
      <c r="J251" t="s">
        <v>527</v>
      </c>
      <c r="K251" t="s">
        <v>527</v>
      </c>
      <c r="L251" t="s">
        <v>528</v>
      </c>
      <c r="M251" t="s">
        <v>528</v>
      </c>
      <c r="N251" t="s">
        <v>528</v>
      </c>
      <c r="O251" t="s">
        <v>527</v>
      </c>
    </row>
    <row r="252" spans="1:15" x14ac:dyDescent="0.2">
      <c r="A252" t="s">
        <v>271</v>
      </c>
      <c r="B252">
        <v>66</v>
      </c>
      <c r="C252" t="s">
        <v>10</v>
      </c>
      <c r="D252" t="s">
        <v>27</v>
      </c>
      <c r="E252">
        <v>234.63</v>
      </c>
      <c r="F252">
        <v>2</v>
      </c>
      <c r="G252" t="s">
        <v>12</v>
      </c>
      <c r="H252" s="1">
        <v>45291</v>
      </c>
      <c r="I252" s="14">
        <v>4</v>
      </c>
      <c r="J252" t="s">
        <v>527</v>
      </c>
      <c r="K252" t="s">
        <v>527</v>
      </c>
      <c r="L252" t="s">
        <v>528</v>
      </c>
      <c r="M252" t="s">
        <v>528</v>
      </c>
      <c r="N252" t="s">
        <v>528</v>
      </c>
      <c r="O252" t="s">
        <v>527</v>
      </c>
    </row>
    <row r="253" spans="1:15" x14ac:dyDescent="0.2">
      <c r="A253" t="s">
        <v>272</v>
      </c>
      <c r="B253">
        <v>30</v>
      </c>
      <c r="C253" t="s">
        <v>26</v>
      </c>
      <c r="D253" t="s">
        <v>17</v>
      </c>
      <c r="E253">
        <v>419.28</v>
      </c>
      <c r="F253">
        <v>1</v>
      </c>
      <c r="G253" t="s">
        <v>36</v>
      </c>
      <c r="H253" s="1">
        <v>44934</v>
      </c>
      <c r="I253" s="14">
        <v>3</v>
      </c>
      <c r="J253" t="s">
        <v>527</v>
      </c>
      <c r="K253" t="s">
        <v>527</v>
      </c>
      <c r="L253" t="s">
        <v>528</v>
      </c>
      <c r="M253" t="s">
        <v>528</v>
      </c>
      <c r="N253" t="s">
        <v>528</v>
      </c>
      <c r="O253" t="s">
        <v>527</v>
      </c>
    </row>
    <row r="254" spans="1:15" x14ac:dyDescent="0.2">
      <c r="A254" t="s">
        <v>273</v>
      </c>
      <c r="B254">
        <v>71</v>
      </c>
      <c r="C254" t="s">
        <v>23</v>
      </c>
      <c r="D254" t="s">
        <v>17</v>
      </c>
      <c r="E254">
        <v>108.31</v>
      </c>
      <c r="F254">
        <v>2</v>
      </c>
      <c r="G254" t="s">
        <v>12</v>
      </c>
      <c r="H254" s="1">
        <v>42284</v>
      </c>
      <c r="I254" s="14">
        <v>2</v>
      </c>
      <c r="J254" t="s">
        <v>528</v>
      </c>
      <c r="K254" t="s">
        <v>527</v>
      </c>
      <c r="L254" t="s">
        <v>528</v>
      </c>
      <c r="M254" t="s">
        <v>528</v>
      </c>
      <c r="N254" t="s">
        <v>528</v>
      </c>
      <c r="O254" t="s">
        <v>528</v>
      </c>
    </row>
    <row r="255" spans="1:15" x14ac:dyDescent="0.2">
      <c r="A255" t="s">
        <v>274</v>
      </c>
      <c r="B255">
        <v>51</v>
      </c>
      <c r="C255" t="s">
        <v>26</v>
      </c>
      <c r="D255" t="s">
        <v>17</v>
      </c>
      <c r="E255">
        <v>91.55</v>
      </c>
      <c r="F255">
        <v>3</v>
      </c>
      <c r="G255" t="s">
        <v>20</v>
      </c>
      <c r="H255" s="1">
        <v>45070</v>
      </c>
      <c r="I255" s="14">
        <v>9</v>
      </c>
      <c r="J255" t="s">
        <v>528</v>
      </c>
      <c r="K255" t="s">
        <v>527</v>
      </c>
      <c r="L255" t="s">
        <v>528</v>
      </c>
      <c r="M255" t="s">
        <v>528</v>
      </c>
      <c r="N255" t="s">
        <v>528</v>
      </c>
      <c r="O255" t="s">
        <v>527</v>
      </c>
    </row>
    <row r="256" spans="1:15" x14ac:dyDescent="0.2">
      <c r="A256" t="s">
        <v>275</v>
      </c>
      <c r="B256">
        <v>31</v>
      </c>
      <c r="C256" t="s">
        <v>26</v>
      </c>
      <c r="D256" t="s">
        <v>11</v>
      </c>
      <c r="E256">
        <v>254.46</v>
      </c>
      <c r="F256">
        <v>2</v>
      </c>
      <c r="G256" t="s">
        <v>20</v>
      </c>
      <c r="H256" s="1">
        <v>44669</v>
      </c>
      <c r="I256" s="14">
        <v>2</v>
      </c>
      <c r="J256" t="s">
        <v>527</v>
      </c>
      <c r="K256" t="s">
        <v>527</v>
      </c>
      <c r="L256" t="s">
        <v>528</v>
      </c>
      <c r="M256" t="s">
        <v>528</v>
      </c>
      <c r="N256" t="s">
        <v>528</v>
      </c>
      <c r="O256" t="s">
        <v>527</v>
      </c>
    </row>
    <row r="257" spans="1:15" x14ac:dyDescent="0.2">
      <c r="A257" t="s">
        <v>276</v>
      </c>
      <c r="B257">
        <v>56</v>
      </c>
      <c r="C257" t="s">
        <v>10</v>
      </c>
      <c r="D257" t="s">
        <v>11</v>
      </c>
      <c r="E257">
        <v>415.55</v>
      </c>
      <c r="F257">
        <v>3</v>
      </c>
      <c r="G257" t="s">
        <v>15</v>
      </c>
      <c r="H257" s="1">
        <v>44375</v>
      </c>
      <c r="I257" s="14">
        <v>2</v>
      </c>
      <c r="J257" t="s">
        <v>527</v>
      </c>
      <c r="K257" t="s">
        <v>527</v>
      </c>
      <c r="L257" t="s">
        <v>528</v>
      </c>
      <c r="M257" t="s">
        <v>528</v>
      </c>
      <c r="N257" t="s">
        <v>528</v>
      </c>
      <c r="O257" t="s">
        <v>527</v>
      </c>
    </row>
    <row r="258" spans="1:15" x14ac:dyDescent="0.2">
      <c r="A258" t="s">
        <v>277</v>
      </c>
      <c r="B258">
        <v>63</v>
      </c>
      <c r="C258" t="s">
        <v>26</v>
      </c>
      <c r="D258" t="s">
        <v>27</v>
      </c>
      <c r="E258">
        <v>186.76</v>
      </c>
      <c r="F258">
        <v>1</v>
      </c>
      <c r="G258" t="s">
        <v>36</v>
      </c>
      <c r="H258" s="1">
        <v>43038</v>
      </c>
      <c r="I258" s="14">
        <v>1</v>
      </c>
      <c r="J258" t="s">
        <v>528</v>
      </c>
      <c r="K258" t="s">
        <v>527</v>
      </c>
      <c r="L258" t="s">
        <v>528</v>
      </c>
      <c r="M258" t="s">
        <v>528</v>
      </c>
      <c r="N258" t="s">
        <v>528</v>
      </c>
      <c r="O258" t="s">
        <v>528</v>
      </c>
    </row>
    <row r="259" spans="1:15" x14ac:dyDescent="0.2">
      <c r="A259" t="s">
        <v>278</v>
      </c>
      <c r="B259">
        <v>22</v>
      </c>
      <c r="C259" t="s">
        <v>26</v>
      </c>
      <c r="D259" t="s">
        <v>11</v>
      </c>
      <c r="E259">
        <v>196.42</v>
      </c>
      <c r="F259">
        <v>1</v>
      </c>
      <c r="G259" t="s">
        <v>36</v>
      </c>
      <c r="H259" s="1">
        <v>45064</v>
      </c>
      <c r="I259" s="14">
        <v>4</v>
      </c>
      <c r="J259" t="s">
        <v>528</v>
      </c>
      <c r="K259" t="s">
        <v>528</v>
      </c>
      <c r="L259" t="s">
        <v>527</v>
      </c>
      <c r="M259" t="s">
        <v>528</v>
      </c>
      <c r="N259" t="s">
        <v>528</v>
      </c>
      <c r="O259" t="s">
        <v>527</v>
      </c>
    </row>
    <row r="260" spans="1:15" x14ac:dyDescent="0.2">
      <c r="A260" t="s">
        <v>279</v>
      </c>
      <c r="B260">
        <v>34</v>
      </c>
      <c r="C260" t="s">
        <v>10</v>
      </c>
      <c r="D260" t="s">
        <v>17</v>
      </c>
      <c r="E260">
        <v>459.38</v>
      </c>
      <c r="F260">
        <v>0</v>
      </c>
      <c r="G260" t="s">
        <v>15</v>
      </c>
      <c r="H260" s="1">
        <v>42521</v>
      </c>
      <c r="I260" s="14">
        <v>5</v>
      </c>
      <c r="J260" t="s">
        <v>527</v>
      </c>
      <c r="K260" t="s">
        <v>527</v>
      </c>
      <c r="L260" t="s">
        <v>528</v>
      </c>
      <c r="M260" t="s">
        <v>528</v>
      </c>
      <c r="N260" t="s">
        <v>528</v>
      </c>
      <c r="O260" t="s">
        <v>528</v>
      </c>
    </row>
    <row r="261" spans="1:15" x14ac:dyDescent="0.2">
      <c r="A261" t="s">
        <v>280</v>
      </c>
      <c r="B261">
        <v>20</v>
      </c>
      <c r="C261" t="s">
        <v>26</v>
      </c>
      <c r="D261" t="s">
        <v>17</v>
      </c>
      <c r="E261">
        <v>361.26</v>
      </c>
      <c r="F261">
        <v>2</v>
      </c>
      <c r="G261" t="s">
        <v>15</v>
      </c>
      <c r="H261" s="1">
        <v>43053</v>
      </c>
      <c r="I261" s="14">
        <v>8</v>
      </c>
      <c r="J261" t="s">
        <v>527</v>
      </c>
      <c r="K261" t="s">
        <v>527</v>
      </c>
      <c r="L261" t="s">
        <v>528</v>
      </c>
      <c r="M261" t="s">
        <v>528</v>
      </c>
      <c r="N261" t="s">
        <v>528</v>
      </c>
      <c r="O261" t="s">
        <v>527</v>
      </c>
    </row>
    <row r="262" spans="1:15" x14ac:dyDescent="0.2">
      <c r="A262" t="s">
        <v>281</v>
      </c>
      <c r="B262">
        <v>73</v>
      </c>
      <c r="C262" t="s">
        <v>23</v>
      </c>
      <c r="D262" t="s">
        <v>27</v>
      </c>
      <c r="E262">
        <v>180.98</v>
      </c>
      <c r="F262">
        <v>2</v>
      </c>
      <c r="G262" t="s">
        <v>20</v>
      </c>
      <c r="H262" s="1">
        <v>42107</v>
      </c>
      <c r="I262" s="14">
        <v>4</v>
      </c>
      <c r="J262" t="s">
        <v>528</v>
      </c>
      <c r="K262" t="s">
        <v>527</v>
      </c>
      <c r="L262" t="s">
        <v>528</v>
      </c>
      <c r="M262" t="s">
        <v>528</v>
      </c>
      <c r="N262" t="s">
        <v>528</v>
      </c>
      <c r="O262" t="s">
        <v>527</v>
      </c>
    </row>
    <row r="263" spans="1:15" x14ac:dyDescent="0.2">
      <c r="A263" t="s">
        <v>282</v>
      </c>
      <c r="B263">
        <v>44</v>
      </c>
      <c r="C263" t="s">
        <v>10</v>
      </c>
      <c r="D263" t="s">
        <v>17</v>
      </c>
      <c r="E263">
        <v>285.77999999999997</v>
      </c>
      <c r="F263">
        <v>2</v>
      </c>
      <c r="G263" t="s">
        <v>36</v>
      </c>
      <c r="H263" s="1">
        <v>45011</v>
      </c>
      <c r="I263" s="14">
        <v>6</v>
      </c>
      <c r="J263" t="s">
        <v>527</v>
      </c>
      <c r="K263" t="s">
        <v>527</v>
      </c>
      <c r="L263" t="s">
        <v>528</v>
      </c>
      <c r="M263" t="s">
        <v>528</v>
      </c>
      <c r="N263" t="s">
        <v>528</v>
      </c>
      <c r="O263" t="s">
        <v>527</v>
      </c>
    </row>
    <row r="264" spans="1:15" x14ac:dyDescent="0.2">
      <c r="A264" t="s">
        <v>283</v>
      </c>
      <c r="B264">
        <v>32</v>
      </c>
      <c r="C264" t="s">
        <v>26</v>
      </c>
      <c r="D264" t="s">
        <v>11</v>
      </c>
      <c r="E264">
        <v>379.75</v>
      </c>
      <c r="F264">
        <v>0</v>
      </c>
      <c r="G264" t="s">
        <v>12</v>
      </c>
      <c r="H264" s="1">
        <v>44162</v>
      </c>
      <c r="I264" s="14">
        <v>8</v>
      </c>
      <c r="J264" t="s">
        <v>527</v>
      </c>
      <c r="K264" t="s">
        <v>527</v>
      </c>
      <c r="L264" t="s">
        <v>528</v>
      </c>
      <c r="M264" t="s">
        <v>528</v>
      </c>
      <c r="N264" t="s">
        <v>528</v>
      </c>
      <c r="O264" t="s">
        <v>528</v>
      </c>
    </row>
    <row r="265" spans="1:15" x14ac:dyDescent="0.2">
      <c r="A265" t="s">
        <v>284</v>
      </c>
      <c r="B265">
        <v>56</v>
      </c>
      <c r="C265" t="s">
        <v>10</v>
      </c>
      <c r="D265" t="s">
        <v>27</v>
      </c>
      <c r="E265">
        <v>61.31</v>
      </c>
      <c r="F265">
        <v>4</v>
      </c>
      <c r="G265" t="s">
        <v>12</v>
      </c>
      <c r="H265" s="1">
        <v>45632</v>
      </c>
      <c r="I265" s="14">
        <v>2</v>
      </c>
      <c r="J265" t="s">
        <v>528</v>
      </c>
      <c r="K265" t="s">
        <v>527</v>
      </c>
      <c r="L265" t="s">
        <v>528</v>
      </c>
      <c r="M265" t="s">
        <v>528</v>
      </c>
      <c r="N265" t="s">
        <v>528</v>
      </c>
      <c r="O265" t="s">
        <v>527</v>
      </c>
    </row>
    <row r="266" spans="1:15" x14ac:dyDescent="0.2">
      <c r="A266" t="s">
        <v>285</v>
      </c>
      <c r="B266">
        <v>65</v>
      </c>
      <c r="C266" t="s">
        <v>23</v>
      </c>
      <c r="D266" t="s">
        <v>11</v>
      </c>
      <c r="E266">
        <v>178.29</v>
      </c>
      <c r="F266">
        <v>2</v>
      </c>
      <c r="G266" t="s">
        <v>15</v>
      </c>
      <c r="H266" s="1">
        <v>43548</v>
      </c>
      <c r="I266" s="14">
        <v>1</v>
      </c>
      <c r="J266" t="s">
        <v>527</v>
      </c>
      <c r="K266" t="s">
        <v>527</v>
      </c>
      <c r="L266" t="s">
        <v>528</v>
      </c>
      <c r="M266" t="s">
        <v>528</v>
      </c>
      <c r="N266" t="s">
        <v>528</v>
      </c>
      <c r="O266" t="s">
        <v>528</v>
      </c>
    </row>
    <row r="267" spans="1:15" x14ac:dyDescent="0.2">
      <c r="A267" t="s">
        <v>286</v>
      </c>
      <c r="B267">
        <v>37</v>
      </c>
      <c r="C267" t="s">
        <v>23</v>
      </c>
      <c r="D267" t="s">
        <v>27</v>
      </c>
      <c r="E267">
        <v>134.85</v>
      </c>
      <c r="F267">
        <v>2</v>
      </c>
      <c r="G267" t="s">
        <v>15</v>
      </c>
      <c r="H267" s="1">
        <v>42131</v>
      </c>
      <c r="I267" s="14">
        <v>7</v>
      </c>
      <c r="J267" t="s">
        <v>528</v>
      </c>
      <c r="K267" t="s">
        <v>527</v>
      </c>
      <c r="L267" t="s">
        <v>528</v>
      </c>
      <c r="M267" t="s">
        <v>528</v>
      </c>
      <c r="N267" t="s">
        <v>528</v>
      </c>
      <c r="O267" t="s">
        <v>527</v>
      </c>
    </row>
    <row r="268" spans="1:15" x14ac:dyDescent="0.2">
      <c r="A268" t="s">
        <v>287</v>
      </c>
      <c r="B268">
        <v>27</v>
      </c>
      <c r="C268" t="s">
        <v>26</v>
      </c>
      <c r="D268" t="s">
        <v>17</v>
      </c>
      <c r="E268">
        <v>404.52</v>
      </c>
      <c r="F268">
        <v>4</v>
      </c>
      <c r="G268" t="s">
        <v>36</v>
      </c>
      <c r="H268" s="1">
        <v>42657</v>
      </c>
      <c r="I268" s="14">
        <v>6</v>
      </c>
      <c r="J268" t="s">
        <v>527</v>
      </c>
      <c r="K268" t="s">
        <v>527</v>
      </c>
      <c r="L268" t="s">
        <v>528</v>
      </c>
      <c r="M268" t="s">
        <v>528</v>
      </c>
      <c r="N268" t="s">
        <v>528</v>
      </c>
      <c r="O268" t="s">
        <v>527</v>
      </c>
    </row>
    <row r="269" spans="1:15" x14ac:dyDescent="0.2">
      <c r="A269" t="s">
        <v>288</v>
      </c>
      <c r="B269">
        <v>57</v>
      </c>
      <c r="C269" t="s">
        <v>10</v>
      </c>
      <c r="D269" t="s">
        <v>17</v>
      </c>
      <c r="E269">
        <v>476.09</v>
      </c>
      <c r="F269">
        <v>0</v>
      </c>
      <c r="G269" t="s">
        <v>15</v>
      </c>
      <c r="H269" s="1">
        <v>45293</v>
      </c>
      <c r="I269" s="14">
        <v>5</v>
      </c>
      <c r="J269" t="s">
        <v>527</v>
      </c>
      <c r="K269" t="s">
        <v>527</v>
      </c>
      <c r="L269" t="s">
        <v>528</v>
      </c>
      <c r="M269" t="s">
        <v>528</v>
      </c>
      <c r="N269" t="s">
        <v>528</v>
      </c>
      <c r="O269" t="s">
        <v>527</v>
      </c>
    </row>
    <row r="270" spans="1:15" x14ac:dyDescent="0.2">
      <c r="A270" t="s">
        <v>289</v>
      </c>
      <c r="B270">
        <v>79</v>
      </c>
      <c r="C270" t="s">
        <v>23</v>
      </c>
      <c r="D270" t="s">
        <v>17</v>
      </c>
      <c r="E270">
        <v>409.12</v>
      </c>
      <c r="F270">
        <v>1</v>
      </c>
      <c r="G270" t="s">
        <v>12</v>
      </c>
      <c r="H270" s="1">
        <v>43736</v>
      </c>
      <c r="I270" s="14">
        <v>5</v>
      </c>
      <c r="J270" t="s">
        <v>527</v>
      </c>
      <c r="K270" t="s">
        <v>528</v>
      </c>
      <c r="L270" t="s">
        <v>527</v>
      </c>
      <c r="M270" t="s">
        <v>528</v>
      </c>
      <c r="N270" t="s">
        <v>528</v>
      </c>
      <c r="O270" t="s">
        <v>527</v>
      </c>
    </row>
    <row r="271" spans="1:15" x14ac:dyDescent="0.2">
      <c r="A271" t="s">
        <v>290</v>
      </c>
      <c r="B271">
        <v>30</v>
      </c>
      <c r="C271" t="s">
        <v>26</v>
      </c>
      <c r="D271" t="s">
        <v>17</v>
      </c>
      <c r="E271">
        <v>400.54</v>
      </c>
      <c r="F271">
        <v>2</v>
      </c>
      <c r="G271" t="s">
        <v>15</v>
      </c>
      <c r="H271" s="1">
        <v>45686</v>
      </c>
      <c r="I271" s="14">
        <v>4</v>
      </c>
      <c r="J271" t="s">
        <v>527</v>
      </c>
      <c r="K271" t="s">
        <v>527</v>
      </c>
      <c r="L271" t="s">
        <v>528</v>
      </c>
      <c r="M271" t="s">
        <v>528</v>
      </c>
      <c r="N271" t="s">
        <v>528</v>
      </c>
      <c r="O271" t="s">
        <v>527</v>
      </c>
    </row>
    <row r="272" spans="1:15" x14ac:dyDescent="0.2">
      <c r="A272" t="s">
        <v>291</v>
      </c>
      <c r="B272">
        <v>41</v>
      </c>
      <c r="C272" t="s">
        <v>26</v>
      </c>
      <c r="D272" t="s">
        <v>11</v>
      </c>
      <c r="E272">
        <v>233.34</v>
      </c>
      <c r="F272">
        <v>2</v>
      </c>
      <c r="G272" t="s">
        <v>15</v>
      </c>
      <c r="H272" s="1">
        <v>44184</v>
      </c>
      <c r="I272" s="14">
        <v>6</v>
      </c>
      <c r="J272" t="s">
        <v>527</v>
      </c>
      <c r="K272" t="s">
        <v>527</v>
      </c>
      <c r="L272" t="s">
        <v>528</v>
      </c>
      <c r="M272" t="s">
        <v>528</v>
      </c>
      <c r="N272" t="s">
        <v>528</v>
      </c>
      <c r="O272" t="s">
        <v>527</v>
      </c>
    </row>
    <row r="273" spans="1:15" x14ac:dyDescent="0.2">
      <c r="A273" t="s">
        <v>292</v>
      </c>
      <c r="B273">
        <v>54</v>
      </c>
      <c r="C273" t="s">
        <v>10</v>
      </c>
      <c r="D273" t="s">
        <v>27</v>
      </c>
      <c r="E273">
        <v>174.36</v>
      </c>
      <c r="F273">
        <v>1</v>
      </c>
      <c r="G273" t="s">
        <v>36</v>
      </c>
      <c r="H273" s="1">
        <v>44395</v>
      </c>
      <c r="I273" s="14">
        <v>3</v>
      </c>
      <c r="J273" t="s">
        <v>527</v>
      </c>
      <c r="K273" t="s">
        <v>527</v>
      </c>
      <c r="L273" t="s">
        <v>528</v>
      </c>
      <c r="M273" t="s">
        <v>528</v>
      </c>
      <c r="N273" t="s">
        <v>528</v>
      </c>
      <c r="O273" t="s">
        <v>527</v>
      </c>
    </row>
    <row r="274" spans="1:15" x14ac:dyDescent="0.2">
      <c r="A274" t="s">
        <v>293</v>
      </c>
      <c r="B274">
        <v>46</v>
      </c>
      <c r="C274" t="s">
        <v>26</v>
      </c>
      <c r="D274" t="s">
        <v>27</v>
      </c>
      <c r="E274">
        <v>114.65</v>
      </c>
      <c r="F274">
        <v>1</v>
      </c>
      <c r="G274" t="s">
        <v>12</v>
      </c>
      <c r="H274" s="1">
        <v>44433</v>
      </c>
      <c r="I274" s="14">
        <v>10</v>
      </c>
      <c r="J274" t="s">
        <v>527</v>
      </c>
      <c r="K274" t="s">
        <v>527</v>
      </c>
      <c r="L274" t="s">
        <v>528</v>
      </c>
      <c r="M274" t="s">
        <v>528</v>
      </c>
      <c r="N274" t="s">
        <v>528</v>
      </c>
      <c r="O274" t="s">
        <v>527</v>
      </c>
    </row>
    <row r="275" spans="1:15" x14ac:dyDescent="0.2">
      <c r="A275" t="s">
        <v>294</v>
      </c>
      <c r="B275">
        <v>41</v>
      </c>
      <c r="C275" t="s">
        <v>10</v>
      </c>
      <c r="D275" t="s">
        <v>11</v>
      </c>
      <c r="E275">
        <v>139.51</v>
      </c>
      <c r="F275">
        <v>4</v>
      </c>
      <c r="G275" t="s">
        <v>36</v>
      </c>
      <c r="H275" s="1">
        <v>44610</v>
      </c>
      <c r="I275" s="14">
        <v>10</v>
      </c>
      <c r="J275" t="s">
        <v>527</v>
      </c>
      <c r="K275" t="s">
        <v>527</v>
      </c>
      <c r="L275" t="s">
        <v>528</v>
      </c>
      <c r="M275" t="s">
        <v>528</v>
      </c>
      <c r="N275" t="s">
        <v>528</v>
      </c>
      <c r="O275" t="s">
        <v>527</v>
      </c>
    </row>
    <row r="276" spans="1:15" x14ac:dyDescent="0.2">
      <c r="A276" t="s">
        <v>295</v>
      </c>
      <c r="B276">
        <v>33</v>
      </c>
      <c r="C276" t="s">
        <v>23</v>
      </c>
      <c r="D276" t="s">
        <v>11</v>
      </c>
      <c r="E276">
        <v>394.36</v>
      </c>
      <c r="F276">
        <v>1</v>
      </c>
      <c r="G276" t="s">
        <v>15</v>
      </c>
      <c r="H276" s="1">
        <v>45166</v>
      </c>
      <c r="I276" s="14">
        <v>4</v>
      </c>
      <c r="J276" t="s">
        <v>527</v>
      </c>
      <c r="K276" t="s">
        <v>527</v>
      </c>
      <c r="L276" t="s">
        <v>528</v>
      </c>
      <c r="M276" t="s">
        <v>528</v>
      </c>
      <c r="N276" t="s">
        <v>528</v>
      </c>
      <c r="O276" t="s">
        <v>528</v>
      </c>
    </row>
    <row r="277" spans="1:15" x14ac:dyDescent="0.2">
      <c r="A277" t="s">
        <v>296</v>
      </c>
      <c r="B277">
        <v>62</v>
      </c>
      <c r="C277" t="s">
        <v>23</v>
      </c>
      <c r="D277" t="s">
        <v>27</v>
      </c>
      <c r="E277">
        <v>69.069999999999993</v>
      </c>
      <c r="F277">
        <v>3</v>
      </c>
      <c r="G277" t="s">
        <v>36</v>
      </c>
      <c r="H277" s="1">
        <v>42177</v>
      </c>
      <c r="I277" s="14">
        <v>10</v>
      </c>
      <c r="J277" t="s">
        <v>527</v>
      </c>
      <c r="K277" t="s">
        <v>527</v>
      </c>
      <c r="L277" t="s">
        <v>528</v>
      </c>
      <c r="M277" t="s">
        <v>528</v>
      </c>
      <c r="N277" t="s">
        <v>528</v>
      </c>
      <c r="O277" t="s">
        <v>527</v>
      </c>
    </row>
    <row r="278" spans="1:15" x14ac:dyDescent="0.2">
      <c r="A278" t="s">
        <v>297</v>
      </c>
      <c r="B278">
        <v>55</v>
      </c>
      <c r="C278" t="s">
        <v>10</v>
      </c>
      <c r="D278" t="s">
        <v>27</v>
      </c>
      <c r="E278">
        <v>322.83999999999997</v>
      </c>
      <c r="F278">
        <v>0</v>
      </c>
      <c r="G278" t="s">
        <v>12</v>
      </c>
      <c r="H278" s="1">
        <v>45620</v>
      </c>
      <c r="I278" s="14">
        <v>2</v>
      </c>
      <c r="J278" t="s">
        <v>527</v>
      </c>
      <c r="K278" t="s">
        <v>527</v>
      </c>
      <c r="L278" t="s">
        <v>528</v>
      </c>
      <c r="M278" t="s">
        <v>528</v>
      </c>
      <c r="N278" t="s">
        <v>528</v>
      </c>
      <c r="O278" t="s">
        <v>527</v>
      </c>
    </row>
    <row r="279" spans="1:15" x14ac:dyDescent="0.2">
      <c r="A279" t="s">
        <v>298</v>
      </c>
      <c r="B279">
        <v>32</v>
      </c>
      <c r="C279" t="s">
        <v>26</v>
      </c>
      <c r="D279" t="s">
        <v>17</v>
      </c>
      <c r="E279">
        <v>322.95999999999998</v>
      </c>
      <c r="F279">
        <v>2</v>
      </c>
      <c r="G279" t="s">
        <v>20</v>
      </c>
      <c r="H279" s="1">
        <v>44166</v>
      </c>
      <c r="I279" s="14">
        <v>1</v>
      </c>
      <c r="J279" t="s">
        <v>527</v>
      </c>
      <c r="K279" t="s">
        <v>527</v>
      </c>
      <c r="L279" t="s">
        <v>528</v>
      </c>
      <c r="M279" t="s">
        <v>528</v>
      </c>
      <c r="N279" t="s">
        <v>528</v>
      </c>
      <c r="O279" t="s">
        <v>528</v>
      </c>
    </row>
    <row r="280" spans="1:15" x14ac:dyDescent="0.2">
      <c r="A280" t="s">
        <v>299</v>
      </c>
      <c r="B280">
        <v>65</v>
      </c>
      <c r="C280" t="s">
        <v>10</v>
      </c>
      <c r="D280" t="s">
        <v>27</v>
      </c>
      <c r="E280">
        <v>275.3</v>
      </c>
      <c r="F280">
        <v>4</v>
      </c>
      <c r="G280" t="s">
        <v>20</v>
      </c>
      <c r="H280" s="1">
        <v>43504</v>
      </c>
      <c r="I280" s="14">
        <v>2</v>
      </c>
      <c r="J280" t="s">
        <v>527</v>
      </c>
      <c r="K280" t="s">
        <v>527</v>
      </c>
      <c r="L280" t="s">
        <v>528</v>
      </c>
      <c r="M280" t="s">
        <v>528</v>
      </c>
      <c r="N280" t="s">
        <v>528</v>
      </c>
      <c r="O280" t="s">
        <v>528</v>
      </c>
    </row>
    <row r="281" spans="1:15" x14ac:dyDescent="0.2">
      <c r="A281" t="s">
        <v>300</v>
      </c>
      <c r="B281">
        <v>20</v>
      </c>
      <c r="C281" t="s">
        <v>23</v>
      </c>
      <c r="D281" t="s">
        <v>27</v>
      </c>
      <c r="E281">
        <v>289.95999999999998</v>
      </c>
      <c r="F281">
        <v>0</v>
      </c>
      <c r="G281" t="s">
        <v>15</v>
      </c>
      <c r="H281" s="1">
        <v>43855</v>
      </c>
      <c r="I281" s="14">
        <v>2</v>
      </c>
      <c r="J281" t="s">
        <v>527</v>
      </c>
      <c r="K281" t="s">
        <v>527</v>
      </c>
      <c r="L281" t="s">
        <v>528</v>
      </c>
      <c r="M281" t="s">
        <v>528</v>
      </c>
      <c r="N281" t="s">
        <v>528</v>
      </c>
      <c r="O281" t="s">
        <v>527</v>
      </c>
    </row>
    <row r="282" spans="1:15" x14ac:dyDescent="0.2">
      <c r="A282" t="s">
        <v>301</v>
      </c>
      <c r="B282">
        <v>40</v>
      </c>
      <c r="C282" t="s">
        <v>26</v>
      </c>
      <c r="D282" t="s">
        <v>27</v>
      </c>
      <c r="E282">
        <v>445.08</v>
      </c>
      <c r="F282">
        <v>4</v>
      </c>
      <c r="G282" t="s">
        <v>20</v>
      </c>
      <c r="H282" s="1">
        <v>42342</v>
      </c>
      <c r="I282" s="14">
        <v>3</v>
      </c>
      <c r="J282" t="s">
        <v>527</v>
      </c>
      <c r="K282" t="s">
        <v>527</v>
      </c>
      <c r="L282" t="s">
        <v>528</v>
      </c>
      <c r="M282" t="s">
        <v>528</v>
      </c>
      <c r="N282" t="s">
        <v>528</v>
      </c>
      <c r="O282" t="s">
        <v>527</v>
      </c>
    </row>
    <row r="283" spans="1:15" x14ac:dyDescent="0.2">
      <c r="A283" t="s">
        <v>302</v>
      </c>
      <c r="B283">
        <v>52</v>
      </c>
      <c r="C283" t="s">
        <v>26</v>
      </c>
      <c r="D283" t="s">
        <v>27</v>
      </c>
      <c r="E283">
        <v>401.32</v>
      </c>
      <c r="F283">
        <v>1</v>
      </c>
      <c r="G283" t="s">
        <v>20</v>
      </c>
      <c r="H283" s="1">
        <v>44813</v>
      </c>
      <c r="I283" s="14">
        <v>7</v>
      </c>
      <c r="J283" t="s">
        <v>527</v>
      </c>
      <c r="K283" t="s">
        <v>527</v>
      </c>
      <c r="L283" t="s">
        <v>528</v>
      </c>
      <c r="M283" t="s">
        <v>528</v>
      </c>
      <c r="N283" t="s">
        <v>528</v>
      </c>
      <c r="O283" t="s">
        <v>528</v>
      </c>
    </row>
    <row r="284" spans="1:15" x14ac:dyDescent="0.2">
      <c r="A284" t="s">
        <v>303</v>
      </c>
      <c r="B284">
        <v>69</v>
      </c>
      <c r="C284" t="s">
        <v>10</v>
      </c>
      <c r="D284" t="s">
        <v>27</v>
      </c>
      <c r="E284">
        <v>108.03</v>
      </c>
      <c r="F284">
        <v>3</v>
      </c>
      <c r="G284" t="s">
        <v>12</v>
      </c>
      <c r="H284" s="1">
        <v>42810</v>
      </c>
      <c r="I284" s="14">
        <v>1</v>
      </c>
      <c r="J284" t="s">
        <v>528</v>
      </c>
      <c r="K284" t="s">
        <v>527</v>
      </c>
      <c r="L284" t="s">
        <v>528</v>
      </c>
      <c r="M284" t="s">
        <v>528</v>
      </c>
      <c r="N284" t="s">
        <v>528</v>
      </c>
      <c r="O284" t="s">
        <v>527</v>
      </c>
    </row>
    <row r="285" spans="1:15" x14ac:dyDescent="0.2">
      <c r="A285" t="s">
        <v>304</v>
      </c>
      <c r="B285">
        <v>53</v>
      </c>
      <c r="C285" t="s">
        <v>544</v>
      </c>
      <c r="D285" t="s">
        <v>11</v>
      </c>
      <c r="E285">
        <v>196.94</v>
      </c>
      <c r="F285">
        <v>1</v>
      </c>
      <c r="G285" t="s">
        <v>12</v>
      </c>
      <c r="H285" s="1">
        <v>43854</v>
      </c>
      <c r="I285" s="14">
        <v>7</v>
      </c>
      <c r="J285" t="s">
        <v>527</v>
      </c>
      <c r="K285" t="s">
        <v>527</v>
      </c>
      <c r="L285" t="s">
        <v>528</v>
      </c>
      <c r="M285" t="s">
        <v>528</v>
      </c>
      <c r="N285" t="s">
        <v>528</v>
      </c>
      <c r="O285" t="s">
        <v>527</v>
      </c>
    </row>
    <row r="286" spans="1:15" x14ac:dyDescent="0.2">
      <c r="A286" t="s">
        <v>305</v>
      </c>
      <c r="B286">
        <v>53</v>
      </c>
      <c r="C286" t="s">
        <v>26</v>
      </c>
      <c r="D286" t="s">
        <v>27</v>
      </c>
      <c r="E286">
        <v>377.65</v>
      </c>
      <c r="F286">
        <v>4</v>
      </c>
      <c r="G286" t="s">
        <v>12</v>
      </c>
      <c r="H286" s="1">
        <v>44785</v>
      </c>
      <c r="I286" s="14">
        <v>10</v>
      </c>
      <c r="J286" t="s">
        <v>527</v>
      </c>
      <c r="K286" t="s">
        <v>527</v>
      </c>
      <c r="L286" t="s">
        <v>528</v>
      </c>
      <c r="M286" t="s">
        <v>528</v>
      </c>
      <c r="N286" t="s">
        <v>528</v>
      </c>
      <c r="O286" t="s">
        <v>527</v>
      </c>
    </row>
    <row r="287" spans="1:15" x14ac:dyDescent="0.2">
      <c r="A287" t="s">
        <v>306</v>
      </c>
      <c r="B287">
        <v>51</v>
      </c>
      <c r="C287" t="s">
        <v>10</v>
      </c>
      <c r="D287" t="s">
        <v>11</v>
      </c>
      <c r="E287">
        <v>169.6</v>
      </c>
      <c r="F287">
        <v>0</v>
      </c>
      <c r="G287" t="s">
        <v>36</v>
      </c>
      <c r="H287" s="1">
        <v>42168</v>
      </c>
      <c r="I287" s="14">
        <v>8</v>
      </c>
      <c r="J287" t="s">
        <v>528</v>
      </c>
      <c r="K287" t="s">
        <v>527</v>
      </c>
      <c r="L287" t="s">
        <v>528</v>
      </c>
      <c r="M287" t="s">
        <v>528</v>
      </c>
      <c r="N287" t="s">
        <v>528</v>
      </c>
      <c r="O287" t="s">
        <v>527</v>
      </c>
    </row>
    <row r="288" spans="1:15" x14ac:dyDescent="0.2">
      <c r="A288" t="s">
        <v>307</v>
      </c>
      <c r="B288">
        <v>76</v>
      </c>
      <c r="C288" t="s">
        <v>23</v>
      </c>
      <c r="D288" t="s">
        <v>17</v>
      </c>
      <c r="E288">
        <v>440.85</v>
      </c>
      <c r="F288">
        <v>4</v>
      </c>
      <c r="G288" t="s">
        <v>15</v>
      </c>
      <c r="H288" s="1">
        <v>45165</v>
      </c>
      <c r="I288" s="14">
        <v>3</v>
      </c>
      <c r="J288" t="s">
        <v>527</v>
      </c>
      <c r="K288" t="s">
        <v>527</v>
      </c>
      <c r="L288" t="s">
        <v>528</v>
      </c>
      <c r="M288" t="s">
        <v>528</v>
      </c>
      <c r="N288" t="s">
        <v>528</v>
      </c>
      <c r="O288" t="s">
        <v>527</v>
      </c>
    </row>
    <row r="289" spans="1:15" x14ac:dyDescent="0.2">
      <c r="A289" t="s">
        <v>308</v>
      </c>
      <c r="B289">
        <v>38</v>
      </c>
      <c r="C289" t="s">
        <v>23</v>
      </c>
      <c r="D289" t="s">
        <v>11</v>
      </c>
      <c r="E289">
        <v>294.77</v>
      </c>
      <c r="F289">
        <v>0</v>
      </c>
      <c r="G289" t="s">
        <v>20</v>
      </c>
      <c r="H289" s="1">
        <v>44789</v>
      </c>
      <c r="I289" s="14">
        <v>4</v>
      </c>
      <c r="J289" t="s">
        <v>527</v>
      </c>
      <c r="K289" t="s">
        <v>527</v>
      </c>
      <c r="L289" t="s">
        <v>528</v>
      </c>
      <c r="M289" t="s">
        <v>528</v>
      </c>
      <c r="N289" t="s">
        <v>528</v>
      </c>
      <c r="O289" t="s">
        <v>527</v>
      </c>
    </row>
    <row r="290" spans="1:15" x14ac:dyDescent="0.2">
      <c r="A290" t="s">
        <v>309</v>
      </c>
      <c r="B290">
        <v>67</v>
      </c>
      <c r="C290" t="s">
        <v>26</v>
      </c>
      <c r="D290" t="s">
        <v>17</v>
      </c>
      <c r="E290">
        <v>182.07</v>
      </c>
      <c r="F290">
        <v>0</v>
      </c>
      <c r="G290" t="s">
        <v>15</v>
      </c>
      <c r="H290" s="1">
        <v>45550</v>
      </c>
      <c r="I290" s="14">
        <v>8</v>
      </c>
      <c r="J290" t="s">
        <v>528</v>
      </c>
      <c r="K290" t="s">
        <v>527</v>
      </c>
      <c r="L290" t="s">
        <v>528</v>
      </c>
      <c r="M290" t="s">
        <v>528</v>
      </c>
      <c r="N290" t="s">
        <v>528</v>
      </c>
      <c r="O290" t="s">
        <v>527</v>
      </c>
    </row>
    <row r="291" spans="1:15" x14ac:dyDescent="0.2">
      <c r="A291" t="s">
        <v>310</v>
      </c>
      <c r="B291">
        <v>42</v>
      </c>
      <c r="C291" t="s">
        <v>10</v>
      </c>
      <c r="D291" t="s">
        <v>27</v>
      </c>
      <c r="E291">
        <v>285.38</v>
      </c>
      <c r="F291">
        <v>3</v>
      </c>
      <c r="G291" t="s">
        <v>36</v>
      </c>
      <c r="H291" s="1">
        <v>45673</v>
      </c>
      <c r="I291" s="14">
        <v>8</v>
      </c>
      <c r="J291" t="s">
        <v>527</v>
      </c>
      <c r="K291" t="s">
        <v>527</v>
      </c>
      <c r="L291" t="s">
        <v>528</v>
      </c>
      <c r="M291" t="s">
        <v>528</v>
      </c>
      <c r="N291" t="s">
        <v>528</v>
      </c>
      <c r="O291" t="s">
        <v>527</v>
      </c>
    </row>
    <row r="292" spans="1:15" x14ac:dyDescent="0.2">
      <c r="A292" t="s">
        <v>311</v>
      </c>
      <c r="B292">
        <v>68</v>
      </c>
      <c r="C292" t="s">
        <v>10</v>
      </c>
      <c r="D292" t="s">
        <v>11</v>
      </c>
      <c r="E292">
        <v>270.69</v>
      </c>
      <c r="F292">
        <v>2</v>
      </c>
      <c r="G292" t="s">
        <v>12</v>
      </c>
      <c r="H292" s="1">
        <v>44970</v>
      </c>
      <c r="I292" s="14">
        <v>6</v>
      </c>
      <c r="J292" t="s">
        <v>527</v>
      </c>
      <c r="K292" t="s">
        <v>527</v>
      </c>
      <c r="L292" t="s">
        <v>528</v>
      </c>
      <c r="M292" t="s">
        <v>528</v>
      </c>
      <c r="N292" t="s">
        <v>528</v>
      </c>
      <c r="O292" t="s">
        <v>527</v>
      </c>
    </row>
    <row r="293" spans="1:15" x14ac:dyDescent="0.2">
      <c r="A293" t="s">
        <v>312</v>
      </c>
      <c r="B293">
        <v>42</v>
      </c>
      <c r="C293" t="s">
        <v>10</v>
      </c>
      <c r="D293" t="s">
        <v>17</v>
      </c>
      <c r="E293">
        <v>425.58</v>
      </c>
      <c r="F293">
        <v>3</v>
      </c>
      <c r="G293" t="s">
        <v>12</v>
      </c>
      <c r="H293" s="1">
        <v>44189</v>
      </c>
      <c r="I293" s="14">
        <v>7</v>
      </c>
      <c r="J293" t="s">
        <v>527</v>
      </c>
      <c r="K293" t="s">
        <v>527</v>
      </c>
      <c r="L293" t="s">
        <v>528</v>
      </c>
      <c r="M293" t="s">
        <v>528</v>
      </c>
      <c r="N293" t="s">
        <v>528</v>
      </c>
      <c r="O293" t="s">
        <v>527</v>
      </c>
    </row>
    <row r="294" spans="1:15" x14ac:dyDescent="0.2">
      <c r="A294" t="s">
        <v>313</v>
      </c>
      <c r="B294">
        <v>35</v>
      </c>
      <c r="C294" t="s">
        <v>26</v>
      </c>
      <c r="D294" t="s">
        <v>11</v>
      </c>
      <c r="E294">
        <v>51.85</v>
      </c>
      <c r="F294">
        <v>0</v>
      </c>
      <c r="G294" t="s">
        <v>12</v>
      </c>
      <c r="H294" s="1">
        <v>44675</v>
      </c>
      <c r="I294" s="14">
        <v>10</v>
      </c>
      <c r="J294" t="s">
        <v>528</v>
      </c>
      <c r="K294" t="s">
        <v>527</v>
      </c>
      <c r="L294" t="s">
        <v>528</v>
      </c>
      <c r="M294" t="s">
        <v>528</v>
      </c>
      <c r="N294" t="s">
        <v>528</v>
      </c>
      <c r="O294" t="s">
        <v>527</v>
      </c>
    </row>
    <row r="295" spans="1:15" x14ac:dyDescent="0.2">
      <c r="A295" t="s">
        <v>314</v>
      </c>
      <c r="B295">
        <v>75</v>
      </c>
      <c r="C295" t="s">
        <v>23</v>
      </c>
      <c r="D295" t="s">
        <v>17</v>
      </c>
      <c r="E295">
        <v>317.7</v>
      </c>
      <c r="F295">
        <v>4</v>
      </c>
      <c r="G295" t="s">
        <v>20</v>
      </c>
      <c r="H295" s="1">
        <v>45115</v>
      </c>
      <c r="I295" s="14">
        <v>4</v>
      </c>
      <c r="J295" t="s">
        <v>527</v>
      </c>
      <c r="K295" t="s">
        <v>527</v>
      </c>
      <c r="L295" t="s">
        <v>528</v>
      </c>
      <c r="M295" t="s">
        <v>528</v>
      </c>
      <c r="N295" t="s">
        <v>528</v>
      </c>
      <c r="O295" t="s">
        <v>527</v>
      </c>
    </row>
    <row r="296" spans="1:15" x14ac:dyDescent="0.2">
      <c r="A296" t="s">
        <v>315</v>
      </c>
      <c r="B296">
        <v>36</v>
      </c>
      <c r="C296" t="s">
        <v>10</v>
      </c>
      <c r="D296" t="s">
        <v>27</v>
      </c>
      <c r="E296">
        <v>398.39</v>
      </c>
      <c r="F296">
        <v>4</v>
      </c>
      <c r="G296" t="s">
        <v>12</v>
      </c>
      <c r="H296" s="1">
        <v>42755</v>
      </c>
      <c r="I296" s="14">
        <v>7</v>
      </c>
      <c r="J296" t="s">
        <v>527</v>
      </c>
      <c r="K296" t="s">
        <v>527</v>
      </c>
      <c r="L296" t="s">
        <v>528</v>
      </c>
      <c r="M296" t="s">
        <v>528</v>
      </c>
      <c r="N296" t="s">
        <v>528</v>
      </c>
      <c r="O296" t="s">
        <v>527</v>
      </c>
    </row>
    <row r="297" spans="1:15" x14ac:dyDescent="0.2">
      <c r="A297" t="s">
        <v>316</v>
      </c>
      <c r="B297">
        <v>71</v>
      </c>
      <c r="C297" t="s">
        <v>26</v>
      </c>
      <c r="D297" t="s">
        <v>17</v>
      </c>
      <c r="E297">
        <v>296.44</v>
      </c>
      <c r="F297">
        <v>2</v>
      </c>
      <c r="G297" t="s">
        <v>36</v>
      </c>
      <c r="H297" s="1">
        <v>42455</v>
      </c>
      <c r="I297" s="14">
        <v>4</v>
      </c>
      <c r="J297" t="s">
        <v>527</v>
      </c>
      <c r="K297" t="s">
        <v>527</v>
      </c>
      <c r="L297" t="s">
        <v>528</v>
      </c>
      <c r="M297" t="s">
        <v>528</v>
      </c>
      <c r="N297" t="s">
        <v>528</v>
      </c>
      <c r="O297" t="s">
        <v>527</v>
      </c>
    </row>
    <row r="298" spans="1:15" x14ac:dyDescent="0.2">
      <c r="A298" t="s">
        <v>317</v>
      </c>
      <c r="B298">
        <v>72</v>
      </c>
      <c r="C298" t="s">
        <v>10</v>
      </c>
      <c r="D298" t="s">
        <v>11</v>
      </c>
      <c r="E298">
        <v>58.83</v>
      </c>
      <c r="F298">
        <v>0</v>
      </c>
      <c r="G298" t="s">
        <v>12</v>
      </c>
      <c r="H298" s="1">
        <v>43585</v>
      </c>
      <c r="I298" s="14">
        <v>2</v>
      </c>
      <c r="J298" t="s">
        <v>528</v>
      </c>
      <c r="K298" t="s">
        <v>528</v>
      </c>
      <c r="L298" t="s">
        <v>527</v>
      </c>
      <c r="M298" t="s">
        <v>528</v>
      </c>
      <c r="N298" t="s">
        <v>528</v>
      </c>
      <c r="O298" t="s">
        <v>528</v>
      </c>
    </row>
    <row r="299" spans="1:15" x14ac:dyDescent="0.2">
      <c r="A299" t="s">
        <v>318</v>
      </c>
      <c r="B299">
        <v>79</v>
      </c>
      <c r="C299" t="s">
        <v>26</v>
      </c>
      <c r="D299" t="s">
        <v>11</v>
      </c>
      <c r="E299">
        <v>174.72</v>
      </c>
      <c r="F299">
        <v>1</v>
      </c>
      <c r="G299" t="s">
        <v>36</v>
      </c>
      <c r="H299" s="1">
        <v>42922</v>
      </c>
      <c r="I299" s="14">
        <v>3</v>
      </c>
      <c r="J299" t="s">
        <v>528</v>
      </c>
      <c r="K299" t="s">
        <v>527</v>
      </c>
      <c r="L299" t="s">
        <v>528</v>
      </c>
      <c r="M299" t="s">
        <v>528</v>
      </c>
      <c r="N299" t="s">
        <v>528</v>
      </c>
      <c r="O299" t="s">
        <v>528</v>
      </c>
    </row>
    <row r="300" spans="1:15" x14ac:dyDescent="0.2">
      <c r="A300" t="s">
        <v>319</v>
      </c>
      <c r="B300">
        <v>39</v>
      </c>
      <c r="C300" t="s">
        <v>26</v>
      </c>
      <c r="D300" t="s">
        <v>11</v>
      </c>
      <c r="E300">
        <v>411.15</v>
      </c>
      <c r="F300">
        <v>1</v>
      </c>
      <c r="G300" t="s">
        <v>20</v>
      </c>
      <c r="H300" s="1">
        <v>44985</v>
      </c>
      <c r="I300" s="14">
        <v>2</v>
      </c>
      <c r="J300" t="s">
        <v>527</v>
      </c>
      <c r="K300" t="s">
        <v>527</v>
      </c>
      <c r="L300" t="s">
        <v>528</v>
      </c>
      <c r="M300" t="s">
        <v>528</v>
      </c>
      <c r="N300" t="s">
        <v>528</v>
      </c>
      <c r="O300" t="s">
        <v>527</v>
      </c>
    </row>
    <row r="301" spans="1:15" hidden="1" x14ac:dyDescent="0.2">
      <c r="A301" t="s">
        <v>320</v>
      </c>
      <c r="B301">
        <v>40</v>
      </c>
      <c r="C301" t="s">
        <v>10</v>
      </c>
      <c r="D301" t="s">
        <v>17</v>
      </c>
      <c r="F301">
        <v>0</v>
      </c>
      <c r="G301" t="s">
        <v>36</v>
      </c>
      <c r="H301" s="1">
        <v>42821</v>
      </c>
      <c r="I301">
        <v>4</v>
      </c>
      <c r="J301" t="s">
        <v>527</v>
      </c>
      <c r="K301" t="s">
        <v>527</v>
      </c>
      <c r="L301" t="s">
        <v>528</v>
      </c>
      <c r="M301" t="s">
        <v>528</v>
      </c>
      <c r="N301" t="s">
        <v>528</v>
      </c>
      <c r="O301" t="s">
        <v>527</v>
      </c>
    </row>
    <row r="302" spans="1:15" x14ac:dyDescent="0.2">
      <c r="A302" t="s">
        <v>321</v>
      </c>
      <c r="B302">
        <v>46</v>
      </c>
      <c r="C302" t="s">
        <v>10</v>
      </c>
      <c r="D302" t="s">
        <v>27</v>
      </c>
      <c r="E302">
        <v>291.8</v>
      </c>
      <c r="F302">
        <v>0</v>
      </c>
      <c r="G302" t="s">
        <v>12</v>
      </c>
      <c r="H302" s="1">
        <v>43408</v>
      </c>
      <c r="I302" s="14">
        <v>4</v>
      </c>
      <c r="J302" t="s">
        <v>527</v>
      </c>
      <c r="K302" t="s">
        <v>527</v>
      </c>
      <c r="L302" t="s">
        <v>528</v>
      </c>
      <c r="M302" t="s">
        <v>528</v>
      </c>
      <c r="N302" t="s">
        <v>528</v>
      </c>
      <c r="O302" t="s">
        <v>527</v>
      </c>
    </row>
    <row r="303" spans="1:15" x14ac:dyDescent="0.2">
      <c r="A303" t="s">
        <v>322</v>
      </c>
      <c r="B303">
        <v>76</v>
      </c>
      <c r="C303" t="s">
        <v>10</v>
      </c>
      <c r="D303" t="s">
        <v>11</v>
      </c>
      <c r="E303">
        <v>102.78</v>
      </c>
      <c r="F303">
        <v>4</v>
      </c>
      <c r="G303" t="s">
        <v>20</v>
      </c>
      <c r="H303" s="1">
        <v>45164</v>
      </c>
      <c r="I303" s="14">
        <v>9</v>
      </c>
      <c r="J303" t="s">
        <v>527</v>
      </c>
      <c r="K303" t="s">
        <v>527</v>
      </c>
      <c r="L303" t="s">
        <v>528</v>
      </c>
      <c r="M303" t="s">
        <v>528</v>
      </c>
      <c r="N303" t="s">
        <v>528</v>
      </c>
      <c r="O303" t="s">
        <v>528</v>
      </c>
    </row>
    <row r="304" spans="1:15" x14ac:dyDescent="0.2">
      <c r="A304" t="s">
        <v>323</v>
      </c>
      <c r="B304">
        <v>56</v>
      </c>
      <c r="C304" t="s">
        <v>26</v>
      </c>
      <c r="D304" t="s">
        <v>17</v>
      </c>
      <c r="E304">
        <v>262.42</v>
      </c>
      <c r="F304">
        <v>0</v>
      </c>
      <c r="G304" t="s">
        <v>36</v>
      </c>
      <c r="H304" s="1">
        <v>44352</v>
      </c>
      <c r="I304" s="14">
        <v>4</v>
      </c>
      <c r="J304" t="s">
        <v>527</v>
      </c>
      <c r="K304" t="s">
        <v>527</v>
      </c>
      <c r="L304" t="s">
        <v>528</v>
      </c>
      <c r="M304" t="s">
        <v>528</v>
      </c>
      <c r="N304" t="s">
        <v>528</v>
      </c>
      <c r="O304" t="s">
        <v>527</v>
      </c>
    </row>
    <row r="305" spans="1:15" x14ac:dyDescent="0.2">
      <c r="A305" t="s">
        <v>324</v>
      </c>
      <c r="B305">
        <v>35</v>
      </c>
      <c r="C305" t="s">
        <v>10</v>
      </c>
      <c r="D305" t="s">
        <v>11</v>
      </c>
      <c r="E305">
        <v>438.87</v>
      </c>
      <c r="F305">
        <v>2</v>
      </c>
      <c r="G305" t="s">
        <v>36</v>
      </c>
      <c r="H305" s="1">
        <v>44650</v>
      </c>
      <c r="I305" s="14">
        <v>10</v>
      </c>
      <c r="J305" t="s">
        <v>527</v>
      </c>
      <c r="K305" t="s">
        <v>527</v>
      </c>
      <c r="L305" t="s">
        <v>528</v>
      </c>
      <c r="M305" t="s">
        <v>528</v>
      </c>
      <c r="N305" t="s">
        <v>528</v>
      </c>
      <c r="O305" t="s">
        <v>527</v>
      </c>
    </row>
    <row r="306" spans="1:15" x14ac:dyDescent="0.2">
      <c r="A306" t="s">
        <v>325</v>
      </c>
      <c r="B306">
        <v>30</v>
      </c>
      <c r="C306" t="s">
        <v>26</v>
      </c>
      <c r="D306" t="s">
        <v>27</v>
      </c>
      <c r="E306">
        <v>362.01</v>
      </c>
      <c r="F306">
        <v>2</v>
      </c>
      <c r="G306" t="s">
        <v>20</v>
      </c>
      <c r="H306" s="1">
        <v>44372</v>
      </c>
      <c r="I306" s="14">
        <v>6</v>
      </c>
      <c r="J306" t="s">
        <v>527</v>
      </c>
      <c r="K306" t="s">
        <v>527</v>
      </c>
      <c r="L306" t="s">
        <v>528</v>
      </c>
      <c r="M306" t="s">
        <v>528</v>
      </c>
      <c r="N306" t="s">
        <v>528</v>
      </c>
      <c r="O306" t="s">
        <v>527</v>
      </c>
    </row>
    <row r="307" spans="1:15" x14ac:dyDescent="0.2">
      <c r="A307" t="s">
        <v>326</v>
      </c>
      <c r="B307">
        <v>19</v>
      </c>
      <c r="C307" t="s">
        <v>23</v>
      </c>
      <c r="D307" t="s">
        <v>11</v>
      </c>
      <c r="E307">
        <v>218.98</v>
      </c>
      <c r="F307">
        <v>1</v>
      </c>
      <c r="G307" t="s">
        <v>12</v>
      </c>
      <c r="H307" s="1">
        <v>44883</v>
      </c>
      <c r="I307" s="14">
        <v>8</v>
      </c>
      <c r="J307" t="s">
        <v>527</v>
      </c>
      <c r="K307" t="s">
        <v>527</v>
      </c>
      <c r="L307" t="s">
        <v>528</v>
      </c>
      <c r="M307" t="s">
        <v>528</v>
      </c>
      <c r="N307" t="s">
        <v>528</v>
      </c>
      <c r="O307" t="s">
        <v>527</v>
      </c>
    </row>
    <row r="308" spans="1:15" x14ac:dyDescent="0.2">
      <c r="A308" t="s">
        <v>327</v>
      </c>
      <c r="B308">
        <v>62</v>
      </c>
      <c r="C308" t="s">
        <v>10</v>
      </c>
      <c r="D308" t="s">
        <v>27</v>
      </c>
      <c r="E308">
        <v>225.86</v>
      </c>
      <c r="F308">
        <v>4</v>
      </c>
      <c r="G308" t="s">
        <v>15</v>
      </c>
      <c r="H308" s="1">
        <v>43187</v>
      </c>
      <c r="I308" s="14">
        <v>4</v>
      </c>
      <c r="J308" t="s">
        <v>527</v>
      </c>
      <c r="K308" t="s">
        <v>527</v>
      </c>
      <c r="L308" t="s">
        <v>528</v>
      </c>
      <c r="M308" t="s">
        <v>528</v>
      </c>
      <c r="N308" t="s">
        <v>528</v>
      </c>
      <c r="O308" t="s">
        <v>527</v>
      </c>
    </row>
    <row r="309" spans="1:15" x14ac:dyDescent="0.2">
      <c r="A309" t="s">
        <v>328</v>
      </c>
      <c r="B309">
        <v>48</v>
      </c>
      <c r="C309" t="s">
        <v>26</v>
      </c>
      <c r="D309" t="s">
        <v>11</v>
      </c>
      <c r="E309">
        <v>171.95</v>
      </c>
      <c r="F309">
        <v>1</v>
      </c>
      <c r="G309" t="s">
        <v>20</v>
      </c>
      <c r="H309" s="1">
        <v>43778</v>
      </c>
      <c r="I309" s="14">
        <v>2</v>
      </c>
      <c r="J309" t="s">
        <v>528</v>
      </c>
      <c r="K309" t="s">
        <v>527</v>
      </c>
      <c r="L309" t="s">
        <v>528</v>
      </c>
      <c r="M309" t="s">
        <v>528</v>
      </c>
      <c r="N309" t="s">
        <v>528</v>
      </c>
      <c r="O309" t="s">
        <v>527</v>
      </c>
    </row>
    <row r="310" spans="1:15" x14ac:dyDescent="0.2">
      <c r="A310" t="s">
        <v>329</v>
      </c>
      <c r="B310">
        <v>48</v>
      </c>
      <c r="C310" t="s">
        <v>26</v>
      </c>
      <c r="D310" t="s">
        <v>11</v>
      </c>
      <c r="E310">
        <v>378.29</v>
      </c>
      <c r="F310">
        <v>1</v>
      </c>
      <c r="G310" t="s">
        <v>36</v>
      </c>
      <c r="H310" s="1">
        <v>42360</v>
      </c>
      <c r="I310" s="14">
        <v>7</v>
      </c>
      <c r="J310" t="s">
        <v>527</v>
      </c>
      <c r="K310" t="s">
        <v>527</v>
      </c>
      <c r="L310" t="s">
        <v>528</v>
      </c>
      <c r="M310" t="s">
        <v>528</v>
      </c>
      <c r="N310" t="s">
        <v>528</v>
      </c>
      <c r="O310" t="s">
        <v>527</v>
      </c>
    </row>
    <row r="311" spans="1:15" x14ac:dyDescent="0.2">
      <c r="A311" t="s">
        <v>330</v>
      </c>
      <c r="B311">
        <v>27</v>
      </c>
      <c r="C311" t="s">
        <v>26</v>
      </c>
      <c r="D311" t="s">
        <v>27</v>
      </c>
      <c r="E311">
        <v>189.62</v>
      </c>
      <c r="F311">
        <v>3</v>
      </c>
      <c r="G311" t="s">
        <v>15</v>
      </c>
      <c r="H311" s="1">
        <v>43795</v>
      </c>
      <c r="I311" s="14">
        <v>8</v>
      </c>
      <c r="J311" t="s">
        <v>527</v>
      </c>
      <c r="K311" t="s">
        <v>527</v>
      </c>
      <c r="L311" t="s">
        <v>528</v>
      </c>
      <c r="M311" t="s">
        <v>528</v>
      </c>
      <c r="N311" t="s">
        <v>528</v>
      </c>
      <c r="O311" t="s">
        <v>527</v>
      </c>
    </row>
    <row r="312" spans="1:15" x14ac:dyDescent="0.2">
      <c r="A312" t="s">
        <v>331</v>
      </c>
      <c r="B312">
        <v>46</v>
      </c>
      <c r="C312" t="s">
        <v>26</v>
      </c>
      <c r="D312" t="s">
        <v>27</v>
      </c>
      <c r="E312">
        <v>451.64</v>
      </c>
      <c r="F312">
        <v>1</v>
      </c>
      <c r="G312" t="s">
        <v>15</v>
      </c>
      <c r="H312" s="1">
        <v>44665</v>
      </c>
      <c r="I312" s="14">
        <v>5</v>
      </c>
      <c r="J312" t="s">
        <v>527</v>
      </c>
      <c r="K312" t="s">
        <v>527</v>
      </c>
      <c r="L312" t="s">
        <v>528</v>
      </c>
      <c r="M312" t="s">
        <v>528</v>
      </c>
      <c r="N312" t="s">
        <v>528</v>
      </c>
      <c r="O312" t="s">
        <v>527</v>
      </c>
    </row>
    <row r="313" spans="1:15" x14ac:dyDescent="0.2">
      <c r="A313" t="s">
        <v>332</v>
      </c>
      <c r="B313">
        <v>28</v>
      </c>
      <c r="C313" t="s">
        <v>544</v>
      </c>
      <c r="D313" t="s">
        <v>17</v>
      </c>
      <c r="E313">
        <v>457.37</v>
      </c>
      <c r="F313">
        <v>4</v>
      </c>
      <c r="G313" t="s">
        <v>12</v>
      </c>
      <c r="H313" s="1">
        <v>42490</v>
      </c>
      <c r="I313" s="14">
        <v>9</v>
      </c>
      <c r="J313" t="s">
        <v>527</v>
      </c>
      <c r="K313" t="s">
        <v>527</v>
      </c>
      <c r="L313" t="s">
        <v>528</v>
      </c>
      <c r="M313" t="s">
        <v>528</v>
      </c>
      <c r="N313" t="s">
        <v>528</v>
      </c>
      <c r="O313" t="s">
        <v>527</v>
      </c>
    </row>
    <row r="314" spans="1:15" x14ac:dyDescent="0.2">
      <c r="A314" t="s">
        <v>333</v>
      </c>
      <c r="B314">
        <v>36</v>
      </c>
      <c r="C314" t="s">
        <v>10</v>
      </c>
      <c r="D314" t="s">
        <v>11</v>
      </c>
      <c r="E314">
        <v>159.94999999999999</v>
      </c>
      <c r="F314">
        <v>0</v>
      </c>
      <c r="G314" t="s">
        <v>15</v>
      </c>
      <c r="H314" s="1">
        <v>42461</v>
      </c>
      <c r="I314" s="14">
        <v>3</v>
      </c>
      <c r="J314" t="s">
        <v>528</v>
      </c>
      <c r="K314" t="s">
        <v>527</v>
      </c>
      <c r="L314" t="s">
        <v>528</v>
      </c>
      <c r="M314" t="s">
        <v>528</v>
      </c>
      <c r="N314" t="s">
        <v>528</v>
      </c>
      <c r="O314" t="s">
        <v>527</v>
      </c>
    </row>
    <row r="315" spans="1:15" x14ac:dyDescent="0.2">
      <c r="A315" t="s">
        <v>334</v>
      </c>
      <c r="B315">
        <v>70</v>
      </c>
      <c r="C315" t="s">
        <v>10</v>
      </c>
      <c r="D315" t="s">
        <v>17</v>
      </c>
      <c r="E315">
        <v>111.79</v>
      </c>
      <c r="F315">
        <v>3</v>
      </c>
      <c r="G315" t="s">
        <v>20</v>
      </c>
      <c r="H315" s="1">
        <v>43144</v>
      </c>
      <c r="I315" s="14" t="s">
        <v>544</v>
      </c>
      <c r="J315" t="s">
        <v>528</v>
      </c>
      <c r="K315" t="s">
        <v>527</v>
      </c>
      <c r="L315" t="s">
        <v>528</v>
      </c>
      <c r="M315" t="s">
        <v>528</v>
      </c>
      <c r="N315" t="s">
        <v>528</v>
      </c>
      <c r="O315" t="s">
        <v>527</v>
      </c>
    </row>
    <row r="316" spans="1:15" x14ac:dyDescent="0.2">
      <c r="A316" t="s">
        <v>335</v>
      </c>
      <c r="B316">
        <v>28</v>
      </c>
      <c r="C316" t="s">
        <v>10</v>
      </c>
      <c r="D316" t="s">
        <v>17</v>
      </c>
      <c r="E316">
        <v>130.88999999999999</v>
      </c>
      <c r="F316">
        <v>3</v>
      </c>
      <c r="G316" t="s">
        <v>36</v>
      </c>
      <c r="H316" s="1">
        <v>42413</v>
      </c>
      <c r="I316" s="14">
        <v>8</v>
      </c>
      <c r="J316" t="s">
        <v>528</v>
      </c>
      <c r="K316" t="s">
        <v>527</v>
      </c>
      <c r="L316" t="s">
        <v>528</v>
      </c>
      <c r="M316" t="s">
        <v>528</v>
      </c>
      <c r="N316" t="s">
        <v>528</v>
      </c>
      <c r="O316" t="s">
        <v>527</v>
      </c>
    </row>
    <row r="317" spans="1:15" x14ac:dyDescent="0.2">
      <c r="A317" t="s">
        <v>336</v>
      </c>
      <c r="B317">
        <v>31</v>
      </c>
      <c r="C317" t="s">
        <v>10</v>
      </c>
      <c r="D317" t="s">
        <v>27</v>
      </c>
      <c r="E317">
        <v>359.24</v>
      </c>
      <c r="F317">
        <v>0</v>
      </c>
      <c r="G317" t="s">
        <v>36</v>
      </c>
      <c r="H317" s="1">
        <v>44074</v>
      </c>
      <c r="I317" s="14">
        <v>2</v>
      </c>
      <c r="J317" t="s">
        <v>527</v>
      </c>
      <c r="K317" t="s">
        <v>527</v>
      </c>
      <c r="L317" t="s">
        <v>528</v>
      </c>
      <c r="M317" t="s">
        <v>528</v>
      </c>
      <c r="N317" t="s">
        <v>528</v>
      </c>
      <c r="O317" t="s">
        <v>527</v>
      </c>
    </row>
    <row r="318" spans="1:15" x14ac:dyDescent="0.2">
      <c r="A318" t="s">
        <v>337</v>
      </c>
      <c r="B318">
        <v>58</v>
      </c>
      <c r="C318" t="s">
        <v>23</v>
      </c>
      <c r="D318" t="s">
        <v>17</v>
      </c>
      <c r="E318">
        <v>286.14</v>
      </c>
      <c r="F318">
        <v>0</v>
      </c>
      <c r="G318" t="s">
        <v>36</v>
      </c>
      <c r="H318" s="1">
        <v>43690</v>
      </c>
      <c r="I318" s="14">
        <v>3</v>
      </c>
      <c r="J318" t="s">
        <v>527</v>
      </c>
      <c r="K318" t="s">
        <v>527</v>
      </c>
      <c r="L318" t="s">
        <v>528</v>
      </c>
      <c r="M318" t="s">
        <v>528</v>
      </c>
      <c r="N318" t="s">
        <v>528</v>
      </c>
      <c r="O318" t="s">
        <v>527</v>
      </c>
    </row>
    <row r="319" spans="1:15" x14ac:dyDescent="0.2">
      <c r="A319" t="s">
        <v>338</v>
      </c>
      <c r="B319">
        <v>67</v>
      </c>
      <c r="C319" t="s">
        <v>26</v>
      </c>
      <c r="D319" t="s">
        <v>11</v>
      </c>
      <c r="E319">
        <v>427.75</v>
      </c>
      <c r="F319">
        <v>1</v>
      </c>
      <c r="G319" t="s">
        <v>15</v>
      </c>
      <c r="H319" s="1">
        <v>44742</v>
      </c>
      <c r="I319" s="14">
        <v>9</v>
      </c>
      <c r="J319" t="s">
        <v>527</v>
      </c>
      <c r="K319" t="s">
        <v>527</v>
      </c>
      <c r="L319" t="s">
        <v>528</v>
      </c>
      <c r="M319" t="s">
        <v>528</v>
      </c>
      <c r="N319" t="s">
        <v>528</v>
      </c>
      <c r="O319" t="s">
        <v>527</v>
      </c>
    </row>
    <row r="320" spans="1:15" x14ac:dyDescent="0.2">
      <c r="A320" t="s">
        <v>339</v>
      </c>
      <c r="B320">
        <v>42</v>
      </c>
      <c r="C320" t="s">
        <v>26</v>
      </c>
      <c r="D320" t="s">
        <v>11</v>
      </c>
      <c r="E320">
        <v>363.12</v>
      </c>
      <c r="F320">
        <v>2</v>
      </c>
      <c r="G320" t="s">
        <v>36</v>
      </c>
      <c r="H320" s="1">
        <v>45625</v>
      </c>
      <c r="I320" s="14">
        <v>1</v>
      </c>
      <c r="J320" t="s">
        <v>527</v>
      </c>
      <c r="K320" t="s">
        <v>527</v>
      </c>
      <c r="L320" t="s">
        <v>528</v>
      </c>
      <c r="M320" t="s">
        <v>528</v>
      </c>
      <c r="N320" t="s">
        <v>528</v>
      </c>
      <c r="O320" t="s">
        <v>527</v>
      </c>
    </row>
    <row r="321" spans="1:15" x14ac:dyDescent="0.2">
      <c r="A321" t="s">
        <v>340</v>
      </c>
      <c r="B321">
        <v>49</v>
      </c>
      <c r="C321" t="s">
        <v>26</v>
      </c>
      <c r="D321" t="s">
        <v>11</v>
      </c>
      <c r="E321">
        <v>202.2</v>
      </c>
      <c r="F321">
        <v>2</v>
      </c>
      <c r="G321" t="s">
        <v>12</v>
      </c>
      <c r="H321" s="1">
        <v>45445</v>
      </c>
      <c r="I321" s="14" t="s">
        <v>544</v>
      </c>
      <c r="J321" t="s">
        <v>527</v>
      </c>
      <c r="K321" t="s">
        <v>527</v>
      </c>
      <c r="L321" t="s">
        <v>528</v>
      </c>
      <c r="M321" t="s">
        <v>528</v>
      </c>
      <c r="N321" t="s">
        <v>528</v>
      </c>
      <c r="O321" t="s">
        <v>527</v>
      </c>
    </row>
    <row r="322" spans="1:15" x14ac:dyDescent="0.2">
      <c r="A322" t="s">
        <v>341</v>
      </c>
      <c r="B322">
        <v>63</v>
      </c>
      <c r="C322" t="s">
        <v>23</v>
      </c>
      <c r="D322" t="s">
        <v>17</v>
      </c>
      <c r="E322">
        <v>94.3</v>
      </c>
      <c r="F322">
        <v>3</v>
      </c>
      <c r="G322" t="s">
        <v>36</v>
      </c>
      <c r="H322" s="1">
        <v>44406</v>
      </c>
      <c r="I322" s="14">
        <v>3</v>
      </c>
      <c r="J322" t="s">
        <v>528</v>
      </c>
      <c r="K322" t="s">
        <v>527</v>
      </c>
      <c r="L322" t="s">
        <v>528</v>
      </c>
      <c r="M322" t="s">
        <v>528</v>
      </c>
      <c r="N322" t="s">
        <v>528</v>
      </c>
      <c r="O322" t="s">
        <v>527</v>
      </c>
    </row>
    <row r="323" spans="1:15" x14ac:dyDescent="0.2">
      <c r="A323" t="s">
        <v>342</v>
      </c>
      <c r="B323">
        <v>56</v>
      </c>
      <c r="C323" t="s">
        <v>23</v>
      </c>
      <c r="D323" t="s">
        <v>17</v>
      </c>
      <c r="E323">
        <v>178.98</v>
      </c>
      <c r="F323">
        <v>2</v>
      </c>
      <c r="G323" t="s">
        <v>36</v>
      </c>
      <c r="H323" s="1">
        <v>43124</v>
      </c>
      <c r="I323" s="14">
        <v>7</v>
      </c>
      <c r="J323" t="s">
        <v>527</v>
      </c>
      <c r="K323" t="s">
        <v>527</v>
      </c>
      <c r="L323" t="s">
        <v>528</v>
      </c>
      <c r="M323" t="s">
        <v>528</v>
      </c>
      <c r="N323" t="s">
        <v>528</v>
      </c>
      <c r="O323" t="s">
        <v>527</v>
      </c>
    </row>
    <row r="324" spans="1:15" x14ac:dyDescent="0.2">
      <c r="A324" t="s">
        <v>343</v>
      </c>
      <c r="B324">
        <v>69</v>
      </c>
      <c r="C324" t="s">
        <v>544</v>
      </c>
      <c r="D324" t="s">
        <v>27</v>
      </c>
      <c r="E324">
        <v>471.32</v>
      </c>
      <c r="F324">
        <v>1</v>
      </c>
      <c r="G324" t="s">
        <v>12</v>
      </c>
      <c r="H324" s="1">
        <v>44195</v>
      </c>
      <c r="I324" s="14">
        <v>9</v>
      </c>
      <c r="J324" t="s">
        <v>527</v>
      </c>
      <c r="K324" t="s">
        <v>527</v>
      </c>
      <c r="L324" t="s">
        <v>528</v>
      </c>
      <c r="M324" t="s">
        <v>528</v>
      </c>
      <c r="N324" t="s">
        <v>528</v>
      </c>
      <c r="O324" t="s">
        <v>527</v>
      </c>
    </row>
    <row r="325" spans="1:15" x14ac:dyDescent="0.2">
      <c r="A325" t="s">
        <v>344</v>
      </c>
      <c r="B325">
        <v>60</v>
      </c>
      <c r="C325" t="s">
        <v>10</v>
      </c>
      <c r="D325" t="s">
        <v>17</v>
      </c>
      <c r="E325">
        <v>401.08</v>
      </c>
      <c r="F325">
        <v>2</v>
      </c>
      <c r="G325" t="s">
        <v>15</v>
      </c>
      <c r="H325" s="1">
        <v>44908</v>
      </c>
      <c r="I325" s="14">
        <v>8</v>
      </c>
      <c r="J325" t="s">
        <v>527</v>
      </c>
      <c r="K325" t="s">
        <v>527</v>
      </c>
      <c r="L325" t="s">
        <v>528</v>
      </c>
      <c r="M325" t="s">
        <v>528</v>
      </c>
      <c r="N325" t="s">
        <v>528</v>
      </c>
      <c r="O325" t="s">
        <v>527</v>
      </c>
    </row>
    <row r="326" spans="1:15" x14ac:dyDescent="0.2">
      <c r="A326" t="s">
        <v>345</v>
      </c>
      <c r="B326">
        <v>43</v>
      </c>
      <c r="C326" t="s">
        <v>23</v>
      </c>
      <c r="D326" t="s">
        <v>11</v>
      </c>
      <c r="E326">
        <v>363.29</v>
      </c>
      <c r="F326">
        <v>4</v>
      </c>
      <c r="G326" t="s">
        <v>12</v>
      </c>
      <c r="H326" s="1">
        <v>43229</v>
      </c>
      <c r="I326" s="14">
        <v>10</v>
      </c>
      <c r="J326" t="s">
        <v>527</v>
      </c>
      <c r="K326" t="s">
        <v>527</v>
      </c>
      <c r="L326" t="s">
        <v>528</v>
      </c>
      <c r="M326" t="s">
        <v>528</v>
      </c>
      <c r="N326" t="s">
        <v>528</v>
      </c>
      <c r="O326" t="s">
        <v>528</v>
      </c>
    </row>
    <row r="327" spans="1:15" x14ac:dyDescent="0.2">
      <c r="A327" t="s">
        <v>346</v>
      </c>
      <c r="B327">
        <v>64</v>
      </c>
      <c r="C327" t="s">
        <v>26</v>
      </c>
      <c r="D327" t="s">
        <v>11</v>
      </c>
      <c r="E327">
        <v>479.23</v>
      </c>
      <c r="F327">
        <v>3</v>
      </c>
      <c r="G327" t="s">
        <v>36</v>
      </c>
      <c r="H327" s="1">
        <v>44083</v>
      </c>
      <c r="I327" s="14">
        <v>1</v>
      </c>
      <c r="J327" t="s">
        <v>527</v>
      </c>
      <c r="K327" t="s">
        <v>527</v>
      </c>
      <c r="L327" t="s">
        <v>528</v>
      </c>
      <c r="M327" t="s">
        <v>528</v>
      </c>
      <c r="N327" t="s">
        <v>528</v>
      </c>
      <c r="O327" t="s">
        <v>527</v>
      </c>
    </row>
    <row r="328" spans="1:15" x14ac:dyDescent="0.2">
      <c r="A328" t="s">
        <v>347</v>
      </c>
      <c r="B328">
        <v>74</v>
      </c>
      <c r="C328" t="s">
        <v>23</v>
      </c>
      <c r="D328" t="s">
        <v>17</v>
      </c>
      <c r="E328">
        <v>128.59</v>
      </c>
      <c r="F328">
        <v>2</v>
      </c>
      <c r="G328" t="s">
        <v>20</v>
      </c>
      <c r="H328" s="1">
        <v>43806</v>
      </c>
      <c r="I328" s="14">
        <v>3</v>
      </c>
      <c r="J328" t="s">
        <v>528</v>
      </c>
      <c r="K328" t="s">
        <v>528</v>
      </c>
      <c r="L328" t="s">
        <v>527</v>
      </c>
      <c r="M328" t="s">
        <v>527</v>
      </c>
      <c r="N328" t="s">
        <v>528</v>
      </c>
      <c r="O328" t="s">
        <v>528</v>
      </c>
    </row>
    <row r="329" spans="1:15" x14ac:dyDescent="0.2">
      <c r="A329" t="s">
        <v>348</v>
      </c>
      <c r="B329">
        <v>25</v>
      </c>
      <c r="C329" t="s">
        <v>26</v>
      </c>
      <c r="D329" t="s">
        <v>11</v>
      </c>
      <c r="E329">
        <v>137.94999999999999</v>
      </c>
      <c r="F329">
        <v>3</v>
      </c>
      <c r="G329" t="s">
        <v>20</v>
      </c>
      <c r="H329" s="1">
        <v>42394</v>
      </c>
      <c r="I329" s="14" t="s">
        <v>544</v>
      </c>
      <c r="J329" t="s">
        <v>527</v>
      </c>
      <c r="K329" t="s">
        <v>527</v>
      </c>
      <c r="L329" t="s">
        <v>528</v>
      </c>
      <c r="M329" t="s">
        <v>528</v>
      </c>
      <c r="N329" t="s">
        <v>528</v>
      </c>
      <c r="O329" t="s">
        <v>527</v>
      </c>
    </row>
    <row r="330" spans="1:15" x14ac:dyDescent="0.2">
      <c r="A330" t="s">
        <v>349</v>
      </c>
      <c r="B330">
        <v>65</v>
      </c>
      <c r="C330" t="s">
        <v>544</v>
      </c>
      <c r="D330" t="s">
        <v>27</v>
      </c>
      <c r="E330">
        <v>430.9</v>
      </c>
      <c r="F330">
        <v>2</v>
      </c>
      <c r="G330" t="s">
        <v>12</v>
      </c>
      <c r="H330" s="1">
        <v>43613</v>
      </c>
      <c r="I330" s="14">
        <v>6</v>
      </c>
      <c r="J330" t="s">
        <v>527</v>
      </c>
      <c r="K330" t="s">
        <v>527</v>
      </c>
      <c r="L330" t="s">
        <v>528</v>
      </c>
      <c r="M330" t="s">
        <v>528</v>
      </c>
      <c r="N330" t="s">
        <v>528</v>
      </c>
      <c r="O330" t="s">
        <v>527</v>
      </c>
    </row>
    <row r="331" spans="1:15" x14ac:dyDescent="0.2">
      <c r="A331" t="s">
        <v>350</v>
      </c>
      <c r="B331">
        <v>58</v>
      </c>
      <c r="C331" t="s">
        <v>10</v>
      </c>
      <c r="D331" t="s">
        <v>17</v>
      </c>
      <c r="E331">
        <v>406.11</v>
      </c>
      <c r="F331">
        <v>2</v>
      </c>
      <c r="G331" t="s">
        <v>36</v>
      </c>
      <c r="H331" s="1">
        <v>43774</v>
      </c>
      <c r="I331" s="14">
        <v>2</v>
      </c>
      <c r="J331" t="s">
        <v>527</v>
      </c>
      <c r="K331" t="s">
        <v>527</v>
      </c>
      <c r="L331" t="s">
        <v>528</v>
      </c>
      <c r="M331" t="s">
        <v>528</v>
      </c>
      <c r="N331" t="s">
        <v>528</v>
      </c>
      <c r="O331" t="s">
        <v>527</v>
      </c>
    </row>
    <row r="332" spans="1:15" x14ac:dyDescent="0.2">
      <c r="A332" t="s">
        <v>351</v>
      </c>
      <c r="B332">
        <v>77</v>
      </c>
      <c r="C332" t="s">
        <v>26</v>
      </c>
      <c r="D332" t="s">
        <v>17</v>
      </c>
      <c r="E332">
        <v>296.93</v>
      </c>
      <c r="F332">
        <v>0</v>
      </c>
      <c r="G332" t="s">
        <v>12</v>
      </c>
      <c r="H332" s="1">
        <v>44997</v>
      </c>
      <c r="I332" s="14" t="s">
        <v>544</v>
      </c>
      <c r="J332" t="s">
        <v>527</v>
      </c>
      <c r="K332" t="s">
        <v>527</v>
      </c>
      <c r="L332" t="s">
        <v>528</v>
      </c>
      <c r="M332" t="s">
        <v>528</v>
      </c>
      <c r="N332" t="s">
        <v>528</v>
      </c>
      <c r="O332" t="s">
        <v>527</v>
      </c>
    </row>
    <row r="333" spans="1:15" hidden="1" x14ac:dyDescent="0.2">
      <c r="A333" t="s">
        <v>352</v>
      </c>
      <c r="B333">
        <v>51</v>
      </c>
      <c r="C333" t="s">
        <v>10</v>
      </c>
      <c r="D333" t="s">
        <v>27</v>
      </c>
      <c r="F333">
        <v>4</v>
      </c>
      <c r="G333" t="s">
        <v>20</v>
      </c>
      <c r="H333" s="1">
        <v>45617</v>
      </c>
      <c r="I333">
        <v>3</v>
      </c>
      <c r="J333" t="s">
        <v>528</v>
      </c>
      <c r="K333" t="s">
        <v>527</v>
      </c>
      <c r="L333" t="s">
        <v>528</v>
      </c>
      <c r="M333" t="s">
        <v>528</v>
      </c>
      <c r="N333" t="s">
        <v>528</v>
      </c>
      <c r="O333" t="s">
        <v>527</v>
      </c>
    </row>
    <row r="334" spans="1:15" x14ac:dyDescent="0.2">
      <c r="A334" t="s">
        <v>353</v>
      </c>
      <c r="B334">
        <v>47</v>
      </c>
      <c r="C334" t="s">
        <v>26</v>
      </c>
      <c r="D334" t="s">
        <v>11</v>
      </c>
      <c r="E334">
        <v>334.89</v>
      </c>
      <c r="F334">
        <v>3</v>
      </c>
      <c r="G334" t="s">
        <v>36</v>
      </c>
      <c r="H334" s="1">
        <v>44141</v>
      </c>
      <c r="I334" s="14">
        <v>8</v>
      </c>
      <c r="J334" t="s">
        <v>527</v>
      </c>
      <c r="K334" t="s">
        <v>527</v>
      </c>
      <c r="L334" t="s">
        <v>528</v>
      </c>
      <c r="M334" t="s">
        <v>528</v>
      </c>
      <c r="N334" t="s">
        <v>528</v>
      </c>
      <c r="O334" t="s">
        <v>527</v>
      </c>
    </row>
    <row r="335" spans="1:15" x14ac:dyDescent="0.2">
      <c r="A335" t="s">
        <v>354</v>
      </c>
      <c r="B335">
        <v>56</v>
      </c>
      <c r="C335" t="s">
        <v>23</v>
      </c>
      <c r="D335" t="s">
        <v>11</v>
      </c>
      <c r="E335">
        <v>166.87</v>
      </c>
      <c r="F335">
        <v>2</v>
      </c>
      <c r="G335" t="s">
        <v>20</v>
      </c>
      <c r="H335" s="1">
        <v>42130</v>
      </c>
      <c r="I335" s="14" t="s">
        <v>544</v>
      </c>
      <c r="J335" t="s">
        <v>528</v>
      </c>
      <c r="K335" t="s">
        <v>527</v>
      </c>
      <c r="L335" t="s">
        <v>528</v>
      </c>
      <c r="M335" t="s">
        <v>528</v>
      </c>
      <c r="N335" t="s">
        <v>528</v>
      </c>
      <c r="O335" t="s">
        <v>528</v>
      </c>
    </row>
    <row r="336" spans="1:15" hidden="1" x14ac:dyDescent="0.2">
      <c r="A336" t="s">
        <v>355</v>
      </c>
      <c r="B336">
        <v>18</v>
      </c>
      <c r="C336" t="s">
        <v>19</v>
      </c>
      <c r="D336" t="s">
        <v>27</v>
      </c>
      <c r="F336">
        <v>0</v>
      </c>
      <c r="G336" t="s">
        <v>20</v>
      </c>
      <c r="H336" s="1">
        <v>44808</v>
      </c>
      <c r="I336">
        <v>7</v>
      </c>
      <c r="J336" t="s">
        <v>528</v>
      </c>
      <c r="K336" t="s">
        <v>527</v>
      </c>
      <c r="L336" t="s">
        <v>528</v>
      </c>
      <c r="M336" t="s">
        <v>528</v>
      </c>
      <c r="N336" t="s">
        <v>528</v>
      </c>
      <c r="O336" t="s">
        <v>527</v>
      </c>
    </row>
    <row r="337" spans="1:15" x14ac:dyDescent="0.2">
      <c r="A337" t="s">
        <v>356</v>
      </c>
      <c r="B337">
        <v>78</v>
      </c>
      <c r="C337" t="s">
        <v>26</v>
      </c>
      <c r="D337" t="s">
        <v>11</v>
      </c>
      <c r="E337">
        <v>413.26</v>
      </c>
      <c r="F337">
        <v>0</v>
      </c>
      <c r="G337" t="s">
        <v>15</v>
      </c>
      <c r="H337" s="1">
        <v>43072</v>
      </c>
      <c r="I337" s="14">
        <v>7</v>
      </c>
      <c r="J337" t="s">
        <v>527</v>
      </c>
      <c r="K337" t="s">
        <v>527</v>
      </c>
      <c r="L337" t="s">
        <v>528</v>
      </c>
      <c r="M337" t="s">
        <v>528</v>
      </c>
      <c r="N337" t="s">
        <v>528</v>
      </c>
      <c r="O337" t="s">
        <v>527</v>
      </c>
    </row>
    <row r="338" spans="1:15" x14ac:dyDescent="0.2">
      <c r="A338" t="s">
        <v>357</v>
      </c>
      <c r="B338">
        <v>41</v>
      </c>
      <c r="C338" t="s">
        <v>26</v>
      </c>
      <c r="D338" t="s">
        <v>11</v>
      </c>
      <c r="E338">
        <v>393.47</v>
      </c>
      <c r="F338">
        <v>0</v>
      </c>
      <c r="G338" t="s">
        <v>12</v>
      </c>
      <c r="H338" s="1">
        <v>42448</v>
      </c>
      <c r="I338" s="14">
        <v>4</v>
      </c>
      <c r="J338" t="s">
        <v>527</v>
      </c>
      <c r="K338" t="s">
        <v>527</v>
      </c>
      <c r="L338" t="s">
        <v>528</v>
      </c>
      <c r="M338" t="s">
        <v>528</v>
      </c>
      <c r="N338" t="s">
        <v>528</v>
      </c>
      <c r="O338" t="s">
        <v>527</v>
      </c>
    </row>
    <row r="339" spans="1:15" x14ac:dyDescent="0.2">
      <c r="A339" t="s">
        <v>358</v>
      </c>
      <c r="B339">
        <v>49</v>
      </c>
      <c r="C339" t="s">
        <v>10</v>
      </c>
      <c r="D339" t="s">
        <v>11</v>
      </c>
      <c r="E339">
        <v>431.99</v>
      </c>
      <c r="F339">
        <v>2</v>
      </c>
      <c r="G339" t="s">
        <v>12</v>
      </c>
      <c r="H339" s="1">
        <v>43300</v>
      </c>
      <c r="I339" s="14" t="s">
        <v>544</v>
      </c>
      <c r="J339" t="s">
        <v>527</v>
      </c>
      <c r="K339" t="s">
        <v>527</v>
      </c>
      <c r="L339" t="s">
        <v>528</v>
      </c>
      <c r="M339" t="s">
        <v>528</v>
      </c>
      <c r="N339" t="s">
        <v>528</v>
      </c>
      <c r="O339" t="s">
        <v>527</v>
      </c>
    </row>
    <row r="340" spans="1:15" x14ac:dyDescent="0.2">
      <c r="A340" t="s">
        <v>359</v>
      </c>
      <c r="B340">
        <v>59</v>
      </c>
      <c r="C340" t="s">
        <v>10</v>
      </c>
      <c r="D340" t="s">
        <v>11</v>
      </c>
      <c r="E340">
        <v>82.67</v>
      </c>
      <c r="F340">
        <v>2</v>
      </c>
      <c r="G340" t="s">
        <v>15</v>
      </c>
      <c r="H340" s="1">
        <v>43668</v>
      </c>
      <c r="I340" s="14">
        <v>6</v>
      </c>
      <c r="J340" t="s">
        <v>528</v>
      </c>
      <c r="K340" t="s">
        <v>528</v>
      </c>
      <c r="L340" t="s">
        <v>527</v>
      </c>
      <c r="M340" t="s">
        <v>527</v>
      </c>
      <c r="N340" t="s">
        <v>528</v>
      </c>
      <c r="O340" t="s">
        <v>528</v>
      </c>
    </row>
    <row r="341" spans="1:15" x14ac:dyDescent="0.2">
      <c r="A341" t="s">
        <v>360</v>
      </c>
      <c r="B341">
        <v>69</v>
      </c>
      <c r="C341" t="s">
        <v>544</v>
      </c>
      <c r="D341" t="s">
        <v>11</v>
      </c>
      <c r="E341">
        <v>267.61</v>
      </c>
      <c r="F341">
        <v>3</v>
      </c>
      <c r="G341" t="s">
        <v>36</v>
      </c>
      <c r="H341" s="1">
        <v>44337</v>
      </c>
      <c r="I341" s="14">
        <v>3</v>
      </c>
      <c r="J341" t="s">
        <v>527</v>
      </c>
      <c r="K341" t="s">
        <v>527</v>
      </c>
      <c r="L341" t="s">
        <v>528</v>
      </c>
      <c r="M341" t="s">
        <v>528</v>
      </c>
      <c r="N341" t="s">
        <v>528</v>
      </c>
      <c r="O341" t="s">
        <v>527</v>
      </c>
    </row>
    <row r="342" spans="1:15" x14ac:dyDescent="0.2">
      <c r="A342" t="s">
        <v>361</v>
      </c>
      <c r="B342">
        <v>37</v>
      </c>
      <c r="C342" t="s">
        <v>10</v>
      </c>
      <c r="D342" t="s">
        <v>27</v>
      </c>
      <c r="E342">
        <v>66.38</v>
      </c>
      <c r="F342">
        <v>0</v>
      </c>
      <c r="G342" t="s">
        <v>12</v>
      </c>
      <c r="H342" s="1">
        <v>45651</v>
      </c>
      <c r="I342" s="14">
        <v>9</v>
      </c>
      <c r="J342" t="s">
        <v>528</v>
      </c>
      <c r="K342" t="s">
        <v>527</v>
      </c>
      <c r="L342" t="s">
        <v>528</v>
      </c>
      <c r="M342" t="s">
        <v>528</v>
      </c>
      <c r="N342" t="s">
        <v>528</v>
      </c>
      <c r="O342" t="s">
        <v>528</v>
      </c>
    </row>
    <row r="343" spans="1:15" x14ac:dyDescent="0.2">
      <c r="A343" t="s">
        <v>362</v>
      </c>
      <c r="B343">
        <v>75</v>
      </c>
      <c r="C343" t="s">
        <v>26</v>
      </c>
      <c r="D343" t="s">
        <v>17</v>
      </c>
      <c r="E343">
        <v>379.33</v>
      </c>
      <c r="F343">
        <v>2</v>
      </c>
      <c r="G343" t="s">
        <v>20</v>
      </c>
      <c r="H343" s="1">
        <v>43534</v>
      </c>
      <c r="I343" s="14">
        <v>6</v>
      </c>
      <c r="J343" t="s">
        <v>527</v>
      </c>
      <c r="K343" t="s">
        <v>527</v>
      </c>
      <c r="L343" t="s">
        <v>528</v>
      </c>
      <c r="M343" t="s">
        <v>528</v>
      </c>
      <c r="N343" t="s">
        <v>528</v>
      </c>
      <c r="O343" t="s">
        <v>527</v>
      </c>
    </row>
    <row r="344" spans="1:15" x14ac:dyDescent="0.2">
      <c r="A344" t="s">
        <v>363</v>
      </c>
      <c r="B344">
        <v>75</v>
      </c>
      <c r="C344" t="s">
        <v>23</v>
      </c>
      <c r="D344" t="s">
        <v>27</v>
      </c>
      <c r="E344">
        <v>77.2</v>
      </c>
      <c r="F344">
        <v>4</v>
      </c>
      <c r="G344" t="s">
        <v>15</v>
      </c>
      <c r="H344" s="1">
        <v>44363</v>
      </c>
      <c r="I344" s="14">
        <v>6</v>
      </c>
      <c r="J344" t="s">
        <v>527</v>
      </c>
      <c r="K344" t="s">
        <v>527</v>
      </c>
      <c r="L344" t="s">
        <v>528</v>
      </c>
      <c r="M344" t="s">
        <v>528</v>
      </c>
      <c r="N344" t="s">
        <v>528</v>
      </c>
      <c r="O344" t="s">
        <v>527</v>
      </c>
    </row>
    <row r="345" spans="1:15" x14ac:dyDescent="0.2">
      <c r="A345" t="s">
        <v>364</v>
      </c>
      <c r="B345">
        <v>42</v>
      </c>
      <c r="C345" t="s">
        <v>26</v>
      </c>
      <c r="D345" t="s">
        <v>27</v>
      </c>
      <c r="E345">
        <v>344.48</v>
      </c>
      <c r="F345">
        <v>0</v>
      </c>
      <c r="G345" t="s">
        <v>20</v>
      </c>
      <c r="H345" s="1">
        <v>43227</v>
      </c>
      <c r="I345" s="14">
        <v>4</v>
      </c>
      <c r="J345" t="s">
        <v>527</v>
      </c>
      <c r="K345" t="s">
        <v>527</v>
      </c>
      <c r="L345" t="s">
        <v>528</v>
      </c>
      <c r="M345" t="s">
        <v>528</v>
      </c>
      <c r="N345" t="s">
        <v>528</v>
      </c>
      <c r="O345" t="s">
        <v>527</v>
      </c>
    </row>
    <row r="346" spans="1:15" x14ac:dyDescent="0.2">
      <c r="A346" t="s">
        <v>365</v>
      </c>
      <c r="B346">
        <v>77</v>
      </c>
      <c r="C346" t="s">
        <v>26</v>
      </c>
      <c r="D346" t="s">
        <v>11</v>
      </c>
      <c r="E346">
        <v>301.35000000000002</v>
      </c>
      <c r="F346">
        <v>0</v>
      </c>
      <c r="G346" t="s">
        <v>12</v>
      </c>
      <c r="H346" s="1">
        <v>44050</v>
      </c>
      <c r="I346" s="14">
        <v>2</v>
      </c>
      <c r="J346" t="s">
        <v>527</v>
      </c>
      <c r="K346" t="s">
        <v>527</v>
      </c>
      <c r="L346" t="s">
        <v>528</v>
      </c>
      <c r="M346" t="s">
        <v>528</v>
      </c>
      <c r="N346" t="s">
        <v>528</v>
      </c>
      <c r="O346" t="s">
        <v>527</v>
      </c>
    </row>
    <row r="347" spans="1:15" x14ac:dyDescent="0.2">
      <c r="A347" t="s">
        <v>366</v>
      </c>
      <c r="B347">
        <v>55</v>
      </c>
      <c r="C347" t="s">
        <v>26</v>
      </c>
      <c r="D347" t="s">
        <v>11</v>
      </c>
      <c r="E347">
        <v>211.4</v>
      </c>
      <c r="F347">
        <v>2</v>
      </c>
      <c r="G347" t="s">
        <v>15</v>
      </c>
      <c r="H347" s="1">
        <v>42309</v>
      </c>
      <c r="I347" s="14">
        <v>7</v>
      </c>
      <c r="J347" t="s">
        <v>527</v>
      </c>
      <c r="K347" t="s">
        <v>527</v>
      </c>
      <c r="L347" t="s">
        <v>528</v>
      </c>
      <c r="M347" t="s">
        <v>528</v>
      </c>
      <c r="N347" t="s">
        <v>528</v>
      </c>
      <c r="O347" t="s">
        <v>527</v>
      </c>
    </row>
    <row r="348" spans="1:15" x14ac:dyDescent="0.2">
      <c r="A348" t="s">
        <v>367</v>
      </c>
      <c r="B348">
        <v>72</v>
      </c>
      <c r="C348" t="s">
        <v>10</v>
      </c>
      <c r="D348" t="s">
        <v>27</v>
      </c>
      <c r="E348">
        <v>276.38</v>
      </c>
      <c r="F348">
        <v>4</v>
      </c>
      <c r="G348" t="s">
        <v>20</v>
      </c>
      <c r="H348" s="1">
        <v>43093</v>
      </c>
      <c r="I348" s="14">
        <v>7</v>
      </c>
      <c r="J348" t="s">
        <v>527</v>
      </c>
      <c r="K348" t="s">
        <v>527</v>
      </c>
      <c r="L348" t="s">
        <v>528</v>
      </c>
      <c r="M348" t="s">
        <v>528</v>
      </c>
      <c r="N348" t="s">
        <v>528</v>
      </c>
      <c r="O348" t="s">
        <v>527</v>
      </c>
    </row>
    <row r="349" spans="1:15" x14ac:dyDescent="0.2">
      <c r="A349" t="s">
        <v>368</v>
      </c>
      <c r="B349">
        <v>79</v>
      </c>
      <c r="C349" t="s">
        <v>23</v>
      </c>
      <c r="D349" t="s">
        <v>27</v>
      </c>
      <c r="E349">
        <v>305.92</v>
      </c>
      <c r="F349">
        <v>2</v>
      </c>
      <c r="G349" t="s">
        <v>36</v>
      </c>
      <c r="H349" s="1">
        <v>42970</v>
      </c>
      <c r="I349" s="14">
        <v>5</v>
      </c>
      <c r="J349" t="s">
        <v>527</v>
      </c>
      <c r="K349" t="s">
        <v>527</v>
      </c>
      <c r="L349" t="s">
        <v>528</v>
      </c>
      <c r="M349" t="s">
        <v>528</v>
      </c>
      <c r="N349" t="s">
        <v>528</v>
      </c>
      <c r="O349" t="s">
        <v>527</v>
      </c>
    </row>
    <row r="350" spans="1:15" x14ac:dyDescent="0.2">
      <c r="A350" t="s">
        <v>369</v>
      </c>
      <c r="B350">
        <v>44</v>
      </c>
      <c r="C350" t="s">
        <v>10</v>
      </c>
      <c r="D350" t="s">
        <v>11</v>
      </c>
      <c r="E350">
        <v>146.63</v>
      </c>
      <c r="F350">
        <v>3</v>
      </c>
      <c r="G350" t="s">
        <v>36</v>
      </c>
      <c r="H350" s="1">
        <v>42725</v>
      </c>
      <c r="I350" s="14">
        <v>7</v>
      </c>
      <c r="J350" t="s">
        <v>527</v>
      </c>
      <c r="K350" t="s">
        <v>527</v>
      </c>
      <c r="L350" t="s">
        <v>528</v>
      </c>
      <c r="M350" t="s">
        <v>528</v>
      </c>
      <c r="N350" t="s">
        <v>528</v>
      </c>
      <c r="O350" t="s">
        <v>527</v>
      </c>
    </row>
    <row r="351" spans="1:15" x14ac:dyDescent="0.2">
      <c r="A351" t="s">
        <v>370</v>
      </c>
      <c r="B351">
        <v>74</v>
      </c>
      <c r="C351" t="s">
        <v>10</v>
      </c>
      <c r="D351" t="s">
        <v>11</v>
      </c>
      <c r="E351">
        <v>178.05</v>
      </c>
      <c r="F351">
        <v>3</v>
      </c>
      <c r="G351" t="s">
        <v>15</v>
      </c>
      <c r="H351" s="1">
        <v>42569</v>
      </c>
      <c r="I351" s="14">
        <v>5</v>
      </c>
      <c r="J351" t="s">
        <v>527</v>
      </c>
      <c r="K351" t="s">
        <v>527</v>
      </c>
      <c r="L351" t="s">
        <v>528</v>
      </c>
      <c r="M351" t="s">
        <v>528</v>
      </c>
      <c r="N351" t="s">
        <v>528</v>
      </c>
      <c r="O351" t="s">
        <v>527</v>
      </c>
    </row>
    <row r="352" spans="1:15" x14ac:dyDescent="0.2">
      <c r="A352" t="s">
        <v>371</v>
      </c>
      <c r="B352">
        <v>71</v>
      </c>
      <c r="C352" t="s">
        <v>23</v>
      </c>
      <c r="D352" t="s">
        <v>11</v>
      </c>
      <c r="E352">
        <v>305.52</v>
      </c>
      <c r="F352">
        <v>2</v>
      </c>
      <c r="G352" t="s">
        <v>15</v>
      </c>
      <c r="H352" s="1">
        <v>44056</v>
      </c>
      <c r="I352" s="14">
        <v>8</v>
      </c>
      <c r="J352" t="s">
        <v>527</v>
      </c>
      <c r="K352" t="s">
        <v>527</v>
      </c>
      <c r="L352" t="s">
        <v>528</v>
      </c>
      <c r="M352" t="s">
        <v>528</v>
      </c>
      <c r="N352" t="s">
        <v>528</v>
      </c>
      <c r="O352" t="s">
        <v>527</v>
      </c>
    </row>
    <row r="353" spans="1:15" x14ac:dyDescent="0.2">
      <c r="A353" t="s">
        <v>372</v>
      </c>
      <c r="B353">
        <v>28</v>
      </c>
      <c r="C353" t="s">
        <v>26</v>
      </c>
      <c r="D353" t="s">
        <v>17</v>
      </c>
      <c r="E353">
        <v>71.180000000000007</v>
      </c>
      <c r="F353">
        <v>4</v>
      </c>
      <c r="G353" t="s">
        <v>36</v>
      </c>
      <c r="H353" s="1">
        <v>42346</v>
      </c>
      <c r="I353" s="14">
        <v>6</v>
      </c>
      <c r="J353" t="s">
        <v>528</v>
      </c>
      <c r="K353" t="s">
        <v>528</v>
      </c>
      <c r="L353" t="s">
        <v>527</v>
      </c>
      <c r="M353" t="s">
        <v>528</v>
      </c>
      <c r="N353" t="s">
        <v>528</v>
      </c>
      <c r="O353" t="s">
        <v>527</v>
      </c>
    </row>
    <row r="354" spans="1:15" x14ac:dyDescent="0.2">
      <c r="A354" t="s">
        <v>373</v>
      </c>
      <c r="B354">
        <v>43</v>
      </c>
      <c r="C354" t="s">
        <v>26</v>
      </c>
      <c r="D354" t="s">
        <v>27</v>
      </c>
      <c r="E354">
        <v>151.68</v>
      </c>
      <c r="F354">
        <v>2</v>
      </c>
      <c r="G354" t="s">
        <v>12</v>
      </c>
      <c r="H354" s="1">
        <v>43844</v>
      </c>
      <c r="I354" s="14" t="s">
        <v>544</v>
      </c>
      <c r="J354" t="s">
        <v>528</v>
      </c>
      <c r="K354" t="s">
        <v>527</v>
      </c>
      <c r="L354" t="s">
        <v>528</v>
      </c>
      <c r="M354" t="s">
        <v>528</v>
      </c>
      <c r="N354" t="s">
        <v>528</v>
      </c>
      <c r="O354" t="s">
        <v>527</v>
      </c>
    </row>
    <row r="355" spans="1:15" x14ac:dyDescent="0.2">
      <c r="A355" t="s">
        <v>374</v>
      </c>
      <c r="B355">
        <v>33</v>
      </c>
      <c r="C355" t="s">
        <v>26</v>
      </c>
      <c r="D355" t="s">
        <v>11</v>
      </c>
      <c r="E355">
        <v>481.14</v>
      </c>
      <c r="F355">
        <v>3</v>
      </c>
      <c r="G355" t="s">
        <v>12</v>
      </c>
      <c r="H355" s="1">
        <v>42153</v>
      </c>
      <c r="I355" s="14">
        <v>5</v>
      </c>
      <c r="J355" t="s">
        <v>527</v>
      </c>
      <c r="K355" t="s">
        <v>527</v>
      </c>
      <c r="L355" t="s">
        <v>528</v>
      </c>
      <c r="M355" t="s">
        <v>528</v>
      </c>
      <c r="N355" t="s">
        <v>528</v>
      </c>
      <c r="O355" t="s">
        <v>527</v>
      </c>
    </row>
    <row r="356" spans="1:15" x14ac:dyDescent="0.2">
      <c r="A356" t="s">
        <v>375</v>
      </c>
      <c r="B356">
        <v>67</v>
      </c>
      <c r="C356" t="s">
        <v>10</v>
      </c>
      <c r="D356" t="s">
        <v>11</v>
      </c>
      <c r="E356">
        <v>375.83</v>
      </c>
      <c r="F356">
        <v>1</v>
      </c>
      <c r="G356" t="s">
        <v>36</v>
      </c>
      <c r="H356" s="1">
        <v>42851</v>
      </c>
      <c r="I356" s="14">
        <v>6</v>
      </c>
      <c r="J356" t="s">
        <v>527</v>
      </c>
      <c r="K356" t="s">
        <v>527</v>
      </c>
      <c r="L356" t="s">
        <v>528</v>
      </c>
      <c r="M356" t="s">
        <v>528</v>
      </c>
      <c r="N356" t="s">
        <v>528</v>
      </c>
      <c r="O356" t="s">
        <v>527</v>
      </c>
    </row>
    <row r="357" spans="1:15" x14ac:dyDescent="0.2">
      <c r="A357" t="s">
        <v>376</v>
      </c>
      <c r="B357">
        <v>25</v>
      </c>
      <c r="C357" t="s">
        <v>26</v>
      </c>
      <c r="D357" t="s">
        <v>11</v>
      </c>
      <c r="E357">
        <v>305.31</v>
      </c>
      <c r="F357">
        <v>0</v>
      </c>
      <c r="G357" t="s">
        <v>12</v>
      </c>
      <c r="H357" s="1">
        <v>43520</v>
      </c>
      <c r="I357" s="14">
        <v>6</v>
      </c>
      <c r="J357" t="s">
        <v>527</v>
      </c>
      <c r="K357" t="s">
        <v>527</v>
      </c>
      <c r="L357" t="s">
        <v>528</v>
      </c>
      <c r="M357" t="s">
        <v>528</v>
      </c>
      <c r="N357" t="s">
        <v>528</v>
      </c>
      <c r="O357" t="s">
        <v>527</v>
      </c>
    </row>
    <row r="358" spans="1:15" x14ac:dyDescent="0.2">
      <c r="A358" t="s">
        <v>377</v>
      </c>
      <c r="B358">
        <v>72</v>
      </c>
      <c r="C358" t="s">
        <v>544</v>
      </c>
      <c r="D358" t="s">
        <v>17</v>
      </c>
      <c r="E358">
        <v>286.3</v>
      </c>
      <c r="F358">
        <v>4</v>
      </c>
      <c r="G358" t="s">
        <v>15</v>
      </c>
      <c r="H358" s="1">
        <v>45156</v>
      </c>
      <c r="I358" s="14">
        <v>10</v>
      </c>
      <c r="J358" t="s">
        <v>527</v>
      </c>
      <c r="K358" t="s">
        <v>527</v>
      </c>
      <c r="L358" t="s">
        <v>528</v>
      </c>
      <c r="M358" t="s">
        <v>528</v>
      </c>
      <c r="N358" t="s">
        <v>528</v>
      </c>
      <c r="O358" t="s">
        <v>527</v>
      </c>
    </row>
    <row r="359" spans="1:15" x14ac:dyDescent="0.2">
      <c r="A359" t="s">
        <v>378</v>
      </c>
      <c r="B359">
        <v>37</v>
      </c>
      <c r="C359" t="s">
        <v>26</v>
      </c>
      <c r="D359" t="s">
        <v>17</v>
      </c>
      <c r="E359">
        <v>228.75</v>
      </c>
      <c r="F359">
        <v>1</v>
      </c>
      <c r="G359" t="s">
        <v>36</v>
      </c>
      <c r="H359" s="1">
        <v>43209</v>
      </c>
      <c r="I359" s="14">
        <v>5</v>
      </c>
      <c r="J359" t="s">
        <v>527</v>
      </c>
      <c r="K359" t="s">
        <v>527</v>
      </c>
      <c r="L359" t="s">
        <v>528</v>
      </c>
      <c r="M359" t="s">
        <v>528</v>
      </c>
      <c r="N359" t="s">
        <v>528</v>
      </c>
      <c r="O359" t="s">
        <v>527</v>
      </c>
    </row>
    <row r="360" spans="1:15" x14ac:dyDescent="0.2">
      <c r="A360" t="s">
        <v>379</v>
      </c>
      <c r="B360">
        <v>43</v>
      </c>
      <c r="C360" t="s">
        <v>10</v>
      </c>
      <c r="D360" t="s">
        <v>27</v>
      </c>
      <c r="E360">
        <v>136.19999999999999</v>
      </c>
      <c r="F360">
        <v>3</v>
      </c>
      <c r="G360" t="s">
        <v>36</v>
      </c>
      <c r="H360" s="1">
        <v>44213</v>
      </c>
      <c r="I360" s="14">
        <v>7</v>
      </c>
      <c r="J360" t="s">
        <v>527</v>
      </c>
      <c r="K360" t="s">
        <v>527</v>
      </c>
      <c r="L360" t="s">
        <v>528</v>
      </c>
      <c r="M360" t="s">
        <v>528</v>
      </c>
      <c r="N360" t="s">
        <v>528</v>
      </c>
      <c r="O360" t="s">
        <v>527</v>
      </c>
    </row>
    <row r="361" spans="1:15" x14ac:dyDescent="0.2">
      <c r="A361" t="s">
        <v>380</v>
      </c>
      <c r="B361">
        <v>36</v>
      </c>
      <c r="C361" t="s">
        <v>10</v>
      </c>
      <c r="D361" t="s">
        <v>27</v>
      </c>
      <c r="E361">
        <v>348.34</v>
      </c>
      <c r="F361">
        <v>4</v>
      </c>
      <c r="G361" t="s">
        <v>36</v>
      </c>
      <c r="H361" s="1">
        <v>43050</v>
      </c>
      <c r="I361" s="14">
        <v>10</v>
      </c>
      <c r="J361" t="s">
        <v>527</v>
      </c>
      <c r="K361" t="s">
        <v>527</v>
      </c>
      <c r="L361" t="s">
        <v>528</v>
      </c>
      <c r="M361" t="s">
        <v>528</v>
      </c>
      <c r="N361" t="s">
        <v>528</v>
      </c>
      <c r="O361" t="s">
        <v>527</v>
      </c>
    </row>
    <row r="362" spans="1:15" x14ac:dyDescent="0.2">
      <c r="A362" t="s">
        <v>381</v>
      </c>
      <c r="B362">
        <v>78</v>
      </c>
      <c r="C362" t="s">
        <v>10</v>
      </c>
      <c r="D362" t="s">
        <v>27</v>
      </c>
      <c r="E362">
        <v>152.6</v>
      </c>
      <c r="F362">
        <v>1</v>
      </c>
      <c r="G362" t="s">
        <v>15</v>
      </c>
      <c r="H362" s="1">
        <v>42402</v>
      </c>
      <c r="I362" s="14">
        <v>5</v>
      </c>
      <c r="J362" t="s">
        <v>527</v>
      </c>
      <c r="K362" t="s">
        <v>527</v>
      </c>
      <c r="L362" t="s">
        <v>528</v>
      </c>
      <c r="M362" t="s">
        <v>528</v>
      </c>
      <c r="N362" t="s">
        <v>528</v>
      </c>
      <c r="O362" t="s">
        <v>527</v>
      </c>
    </row>
    <row r="363" spans="1:15" x14ac:dyDescent="0.2">
      <c r="A363" t="s">
        <v>382</v>
      </c>
      <c r="B363">
        <v>70</v>
      </c>
      <c r="C363" t="s">
        <v>23</v>
      </c>
      <c r="D363" t="s">
        <v>17</v>
      </c>
      <c r="E363">
        <v>397.34</v>
      </c>
      <c r="F363">
        <v>3</v>
      </c>
      <c r="G363" t="s">
        <v>36</v>
      </c>
      <c r="H363" s="1">
        <v>43056</v>
      </c>
      <c r="I363" s="14">
        <v>2</v>
      </c>
      <c r="J363" t="s">
        <v>527</v>
      </c>
      <c r="K363" t="s">
        <v>528</v>
      </c>
      <c r="L363" t="s">
        <v>527</v>
      </c>
      <c r="M363" t="s">
        <v>527</v>
      </c>
      <c r="N363" t="s">
        <v>527</v>
      </c>
      <c r="O363" t="s">
        <v>528</v>
      </c>
    </row>
    <row r="364" spans="1:15" x14ac:dyDescent="0.2">
      <c r="A364" t="s">
        <v>383</v>
      </c>
      <c r="B364">
        <v>35</v>
      </c>
      <c r="C364" t="s">
        <v>26</v>
      </c>
      <c r="D364" t="s">
        <v>11</v>
      </c>
      <c r="E364">
        <v>171.94</v>
      </c>
      <c r="F364">
        <v>2</v>
      </c>
      <c r="G364" t="s">
        <v>36</v>
      </c>
      <c r="H364" s="1">
        <v>42427</v>
      </c>
      <c r="I364" s="14">
        <v>7</v>
      </c>
      <c r="J364" t="s">
        <v>527</v>
      </c>
      <c r="K364" t="s">
        <v>527</v>
      </c>
      <c r="L364" t="s">
        <v>528</v>
      </c>
      <c r="M364" t="s">
        <v>528</v>
      </c>
      <c r="N364" t="s">
        <v>528</v>
      </c>
      <c r="O364" t="s">
        <v>528</v>
      </c>
    </row>
    <row r="365" spans="1:15" x14ac:dyDescent="0.2">
      <c r="A365" t="s">
        <v>384</v>
      </c>
      <c r="B365">
        <v>18</v>
      </c>
      <c r="C365" t="s">
        <v>10</v>
      </c>
      <c r="D365" t="s">
        <v>11</v>
      </c>
      <c r="E365">
        <v>88.01</v>
      </c>
      <c r="F365">
        <v>1</v>
      </c>
      <c r="G365" t="s">
        <v>20</v>
      </c>
      <c r="H365" s="1">
        <v>44069</v>
      </c>
      <c r="I365" s="14">
        <v>10</v>
      </c>
      <c r="J365" t="s">
        <v>528</v>
      </c>
      <c r="K365" t="s">
        <v>527</v>
      </c>
      <c r="L365" t="s">
        <v>528</v>
      </c>
      <c r="M365" t="s">
        <v>528</v>
      </c>
      <c r="N365" t="s">
        <v>528</v>
      </c>
      <c r="O365" t="s">
        <v>527</v>
      </c>
    </row>
    <row r="366" spans="1:15" x14ac:dyDescent="0.2">
      <c r="A366" t="s">
        <v>385</v>
      </c>
      <c r="B366">
        <v>41</v>
      </c>
      <c r="C366" t="s">
        <v>23</v>
      </c>
      <c r="D366" t="s">
        <v>17</v>
      </c>
      <c r="E366">
        <v>319.67</v>
      </c>
      <c r="F366">
        <v>3</v>
      </c>
      <c r="G366" t="s">
        <v>20</v>
      </c>
      <c r="H366" s="1">
        <v>45480</v>
      </c>
      <c r="I366" s="14">
        <v>6</v>
      </c>
      <c r="J366" t="s">
        <v>527</v>
      </c>
      <c r="K366" t="s">
        <v>527</v>
      </c>
      <c r="L366" t="s">
        <v>528</v>
      </c>
      <c r="M366" t="s">
        <v>528</v>
      </c>
      <c r="N366" t="s">
        <v>528</v>
      </c>
      <c r="O366" t="s">
        <v>527</v>
      </c>
    </row>
    <row r="367" spans="1:15" x14ac:dyDescent="0.2">
      <c r="A367" t="s">
        <v>386</v>
      </c>
      <c r="B367">
        <v>65</v>
      </c>
      <c r="C367" t="s">
        <v>10</v>
      </c>
      <c r="D367" t="s">
        <v>11</v>
      </c>
      <c r="E367">
        <v>222.04</v>
      </c>
      <c r="F367">
        <v>0</v>
      </c>
      <c r="G367" t="s">
        <v>20</v>
      </c>
      <c r="H367" s="1">
        <v>44322</v>
      </c>
      <c r="I367" s="14">
        <v>9</v>
      </c>
      <c r="J367" t="s">
        <v>527</v>
      </c>
      <c r="K367" t="s">
        <v>527</v>
      </c>
      <c r="L367" t="s">
        <v>528</v>
      </c>
      <c r="M367" t="s">
        <v>528</v>
      </c>
      <c r="N367" t="s">
        <v>528</v>
      </c>
      <c r="O367" t="s">
        <v>528</v>
      </c>
    </row>
    <row r="368" spans="1:15" x14ac:dyDescent="0.2">
      <c r="A368" t="s">
        <v>387</v>
      </c>
      <c r="B368">
        <v>29</v>
      </c>
      <c r="C368" t="s">
        <v>10</v>
      </c>
      <c r="D368" t="s">
        <v>11</v>
      </c>
      <c r="E368">
        <v>59.89</v>
      </c>
      <c r="F368">
        <v>2</v>
      </c>
      <c r="G368" t="s">
        <v>12</v>
      </c>
      <c r="H368" s="1">
        <v>43659</v>
      </c>
      <c r="I368" s="14">
        <v>1</v>
      </c>
      <c r="J368" t="s">
        <v>528</v>
      </c>
      <c r="K368" t="s">
        <v>527</v>
      </c>
      <c r="L368" t="s">
        <v>528</v>
      </c>
      <c r="M368" t="s">
        <v>528</v>
      </c>
      <c r="N368" t="s">
        <v>528</v>
      </c>
      <c r="O368" t="s">
        <v>527</v>
      </c>
    </row>
    <row r="369" spans="1:15" x14ac:dyDescent="0.2">
      <c r="A369" t="s">
        <v>388</v>
      </c>
      <c r="B369">
        <v>74</v>
      </c>
      <c r="C369" t="s">
        <v>10</v>
      </c>
      <c r="D369" t="s">
        <v>27</v>
      </c>
      <c r="E369">
        <v>359.65</v>
      </c>
      <c r="F369">
        <v>3</v>
      </c>
      <c r="G369" t="s">
        <v>20</v>
      </c>
      <c r="H369" s="1">
        <v>43798</v>
      </c>
      <c r="I369" s="14">
        <v>9</v>
      </c>
      <c r="J369" t="s">
        <v>527</v>
      </c>
      <c r="K369" t="s">
        <v>527</v>
      </c>
      <c r="L369" t="s">
        <v>528</v>
      </c>
      <c r="M369" t="s">
        <v>528</v>
      </c>
      <c r="N369" t="s">
        <v>528</v>
      </c>
      <c r="O369" t="s">
        <v>527</v>
      </c>
    </row>
    <row r="370" spans="1:15" x14ac:dyDescent="0.2">
      <c r="A370" t="s">
        <v>389</v>
      </c>
      <c r="B370">
        <v>26</v>
      </c>
      <c r="C370" t="s">
        <v>26</v>
      </c>
      <c r="D370" t="s">
        <v>11</v>
      </c>
      <c r="E370">
        <v>269.49</v>
      </c>
      <c r="F370">
        <v>3</v>
      </c>
      <c r="G370" t="s">
        <v>36</v>
      </c>
      <c r="H370" s="1">
        <v>43418</v>
      </c>
      <c r="I370" s="14">
        <v>10</v>
      </c>
      <c r="J370" t="s">
        <v>527</v>
      </c>
      <c r="K370" t="s">
        <v>527</v>
      </c>
      <c r="L370" t="s">
        <v>528</v>
      </c>
      <c r="M370" t="s">
        <v>528</v>
      </c>
      <c r="N370" t="s">
        <v>528</v>
      </c>
      <c r="O370" t="s">
        <v>527</v>
      </c>
    </row>
    <row r="371" spans="1:15" x14ac:dyDescent="0.2">
      <c r="A371" t="s">
        <v>390</v>
      </c>
      <c r="B371">
        <v>56</v>
      </c>
      <c r="C371" t="s">
        <v>26</v>
      </c>
      <c r="D371" t="s">
        <v>11</v>
      </c>
      <c r="E371">
        <v>463.18</v>
      </c>
      <c r="F371">
        <v>2</v>
      </c>
      <c r="G371" t="s">
        <v>20</v>
      </c>
      <c r="H371" s="1">
        <v>43293</v>
      </c>
      <c r="I371" s="14">
        <v>9</v>
      </c>
      <c r="J371" t="s">
        <v>527</v>
      </c>
      <c r="K371" t="s">
        <v>527</v>
      </c>
      <c r="L371" t="s">
        <v>528</v>
      </c>
      <c r="M371" t="s">
        <v>528</v>
      </c>
      <c r="N371" t="s">
        <v>528</v>
      </c>
      <c r="O371" t="s">
        <v>527</v>
      </c>
    </row>
    <row r="372" spans="1:15" x14ac:dyDescent="0.2">
      <c r="A372" t="s">
        <v>391</v>
      </c>
      <c r="B372">
        <v>36</v>
      </c>
      <c r="C372" t="s">
        <v>10</v>
      </c>
      <c r="D372" t="s">
        <v>27</v>
      </c>
      <c r="E372">
        <v>373.46</v>
      </c>
      <c r="F372">
        <v>2</v>
      </c>
      <c r="G372" t="s">
        <v>12</v>
      </c>
      <c r="H372" s="1">
        <v>45126</v>
      </c>
      <c r="I372" s="14">
        <v>7</v>
      </c>
      <c r="J372" t="s">
        <v>527</v>
      </c>
      <c r="K372" t="s">
        <v>527</v>
      </c>
      <c r="L372" t="s">
        <v>528</v>
      </c>
      <c r="M372" t="s">
        <v>528</v>
      </c>
      <c r="N372" t="s">
        <v>528</v>
      </c>
      <c r="O372" t="s">
        <v>527</v>
      </c>
    </row>
    <row r="373" spans="1:15" x14ac:dyDescent="0.2">
      <c r="A373" t="s">
        <v>392</v>
      </c>
      <c r="B373">
        <v>48</v>
      </c>
      <c r="C373" t="s">
        <v>10</v>
      </c>
      <c r="D373" t="s">
        <v>17</v>
      </c>
      <c r="E373">
        <v>84.73</v>
      </c>
      <c r="F373">
        <v>0</v>
      </c>
      <c r="G373" t="s">
        <v>12</v>
      </c>
      <c r="H373" s="1">
        <v>43903</v>
      </c>
      <c r="I373" s="14">
        <v>8</v>
      </c>
      <c r="J373" t="s">
        <v>528</v>
      </c>
      <c r="K373" t="s">
        <v>527</v>
      </c>
      <c r="L373" t="s">
        <v>528</v>
      </c>
      <c r="M373" t="s">
        <v>528</v>
      </c>
      <c r="N373" t="s">
        <v>528</v>
      </c>
      <c r="O373" t="s">
        <v>528</v>
      </c>
    </row>
    <row r="374" spans="1:15" x14ac:dyDescent="0.2">
      <c r="A374" t="s">
        <v>393</v>
      </c>
      <c r="B374">
        <v>51</v>
      </c>
      <c r="C374" t="s">
        <v>26</v>
      </c>
      <c r="D374" t="s">
        <v>11</v>
      </c>
      <c r="E374">
        <v>201.92</v>
      </c>
      <c r="F374">
        <v>1</v>
      </c>
      <c r="G374" t="s">
        <v>12</v>
      </c>
      <c r="H374" s="1">
        <v>44562</v>
      </c>
      <c r="I374" s="14">
        <v>9</v>
      </c>
      <c r="J374" t="s">
        <v>527</v>
      </c>
      <c r="K374" t="s">
        <v>528</v>
      </c>
      <c r="L374" t="s">
        <v>527</v>
      </c>
      <c r="M374" t="s">
        <v>528</v>
      </c>
      <c r="N374" t="s">
        <v>528</v>
      </c>
      <c r="O374" t="s">
        <v>528</v>
      </c>
    </row>
    <row r="375" spans="1:15" x14ac:dyDescent="0.2">
      <c r="A375" t="s">
        <v>394</v>
      </c>
      <c r="B375">
        <v>74</v>
      </c>
      <c r="C375" t="s">
        <v>26</v>
      </c>
      <c r="D375" t="s">
        <v>27</v>
      </c>
      <c r="E375">
        <v>388.12</v>
      </c>
      <c r="F375">
        <v>1</v>
      </c>
      <c r="G375" t="s">
        <v>36</v>
      </c>
      <c r="H375" s="1">
        <v>44859</v>
      </c>
      <c r="I375" s="14">
        <v>10</v>
      </c>
      <c r="J375" t="s">
        <v>527</v>
      </c>
      <c r="K375" t="s">
        <v>527</v>
      </c>
      <c r="L375" t="s">
        <v>528</v>
      </c>
      <c r="M375" t="s">
        <v>528</v>
      </c>
      <c r="N375" t="s">
        <v>528</v>
      </c>
      <c r="O375" t="s">
        <v>528</v>
      </c>
    </row>
    <row r="376" spans="1:15" x14ac:dyDescent="0.2">
      <c r="A376" t="s">
        <v>395</v>
      </c>
      <c r="B376">
        <v>56</v>
      </c>
      <c r="C376" t="s">
        <v>26</v>
      </c>
      <c r="D376" t="s">
        <v>27</v>
      </c>
      <c r="E376">
        <v>386.1</v>
      </c>
      <c r="F376">
        <v>4</v>
      </c>
      <c r="G376" t="s">
        <v>20</v>
      </c>
      <c r="H376" s="1">
        <v>44843</v>
      </c>
      <c r="I376" s="14">
        <v>9</v>
      </c>
      <c r="J376" t="s">
        <v>527</v>
      </c>
      <c r="K376" t="s">
        <v>527</v>
      </c>
      <c r="L376" t="s">
        <v>528</v>
      </c>
      <c r="M376" t="s">
        <v>528</v>
      </c>
      <c r="N376" t="s">
        <v>528</v>
      </c>
      <c r="O376" t="s">
        <v>527</v>
      </c>
    </row>
    <row r="377" spans="1:15" x14ac:dyDescent="0.2">
      <c r="A377" t="s">
        <v>396</v>
      </c>
      <c r="B377">
        <v>62</v>
      </c>
      <c r="C377" t="s">
        <v>23</v>
      </c>
      <c r="D377" t="s">
        <v>11</v>
      </c>
      <c r="E377">
        <v>214.93</v>
      </c>
      <c r="F377">
        <v>0</v>
      </c>
      <c r="G377" t="s">
        <v>15</v>
      </c>
      <c r="H377" s="1">
        <v>43016</v>
      </c>
      <c r="I377" s="14">
        <v>6</v>
      </c>
      <c r="J377" t="s">
        <v>527</v>
      </c>
      <c r="K377" t="s">
        <v>528</v>
      </c>
      <c r="L377" t="s">
        <v>527</v>
      </c>
      <c r="M377" t="s">
        <v>527</v>
      </c>
      <c r="N377" t="s">
        <v>528</v>
      </c>
      <c r="O377" t="s">
        <v>528</v>
      </c>
    </row>
    <row r="378" spans="1:15" x14ac:dyDescent="0.2">
      <c r="A378" t="s">
        <v>397</v>
      </c>
      <c r="B378">
        <v>63</v>
      </c>
      <c r="C378" t="s">
        <v>10</v>
      </c>
      <c r="D378" t="s">
        <v>11</v>
      </c>
      <c r="E378">
        <v>57.56</v>
      </c>
      <c r="F378">
        <v>2</v>
      </c>
      <c r="G378" t="s">
        <v>36</v>
      </c>
      <c r="H378" s="1">
        <v>42557</v>
      </c>
      <c r="I378" s="14">
        <v>10</v>
      </c>
      <c r="J378" t="s">
        <v>527</v>
      </c>
      <c r="K378" t="s">
        <v>527</v>
      </c>
      <c r="L378" t="s">
        <v>528</v>
      </c>
      <c r="M378" t="s">
        <v>528</v>
      </c>
      <c r="N378" t="s">
        <v>528</v>
      </c>
      <c r="O378" t="s">
        <v>527</v>
      </c>
    </row>
    <row r="379" spans="1:15" x14ac:dyDescent="0.2">
      <c r="A379" t="s">
        <v>398</v>
      </c>
      <c r="B379">
        <v>46</v>
      </c>
      <c r="C379" t="s">
        <v>10</v>
      </c>
      <c r="D379" t="s">
        <v>27</v>
      </c>
      <c r="E379">
        <v>64.34</v>
      </c>
      <c r="F379">
        <v>3</v>
      </c>
      <c r="G379" t="s">
        <v>12</v>
      </c>
      <c r="H379" s="1">
        <v>42713</v>
      </c>
      <c r="I379" s="14">
        <v>3</v>
      </c>
      <c r="J379" t="s">
        <v>527</v>
      </c>
      <c r="K379" t="s">
        <v>527</v>
      </c>
      <c r="L379" t="s">
        <v>528</v>
      </c>
      <c r="M379" t="s">
        <v>528</v>
      </c>
      <c r="N379" t="s">
        <v>528</v>
      </c>
      <c r="O379" t="s">
        <v>528</v>
      </c>
    </row>
    <row r="380" spans="1:15" x14ac:dyDescent="0.2">
      <c r="A380" t="s">
        <v>399</v>
      </c>
      <c r="B380">
        <v>43</v>
      </c>
      <c r="C380" t="s">
        <v>10</v>
      </c>
      <c r="D380" t="s">
        <v>17</v>
      </c>
      <c r="E380">
        <v>254.1</v>
      </c>
      <c r="F380">
        <v>3</v>
      </c>
      <c r="G380" t="s">
        <v>12</v>
      </c>
      <c r="H380" s="1">
        <v>42343</v>
      </c>
      <c r="I380" s="14">
        <v>7</v>
      </c>
      <c r="J380" t="s">
        <v>527</v>
      </c>
      <c r="K380" t="s">
        <v>527</v>
      </c>
      <c r="L380" t="s">
        <v>528</v>
      </c>
      <c r="M380" t="s">
        <v>528</v>
      </c>
      <c r="N380" t="s">
        <v>528</v>
      </c>
      <c r="O380" t="s">
        <v>527</v>
      </c>
    </row>
    <row r="381" spans="1:15" x14ac:dyDescent="0.2">
      <c r="A381" t="s">
        <v>400</v>
      </c>
      <c r="B381">
        <v>78</v>
      </c>
      <c r="C381" t="s">
        <v>10</v>
      </c>
      <c r="D381" t="s">
        <v>27</v>
      </c>
      <c r="E381">
        <v>182.85</v>
      </c>
      <c r="F381">
        <v>0</v>
      </c>
      <c r="G381" t="s">
        <v>20</v>
      </c>
      <c r="H381" s="1">
        <v>44089</v>
      </c>
      <c r="I381" s="14">
        <v>9</v>
      </c>
      <c r="J381" t="s">
        <v>528</v>
      </c>
      <c r="K381" t="s">
        <v>527</v>
      </c>
      <c r="L381" t="s">
        <v>528</v>
      </c>
      <c r="M381" t="s">
        <v>528</v>
      </c>
      <c r="N381" t="s">
        <v>528</v>
      </c>
      <c r="O381" t="s">
        <v>528</v>
      </c>
    </row>
    <row r="382" spans="1:15" x14ac:dyDescent="0.2">
      <c r="A382" t="s">
        <v>401</v>
      </c>
      <c r="B382">
        <v>44</v>
      </c>
      <c r="C382" t="s">
        <v>26</v>
      </c>
      <c r="D382" t="s">
        <v>11</v>
      </c>
      <c r="E382">
        <v>144.16</v>
      </c>
      <c r="F382">
        <v>2</v>
      </c>
      <c r="G382" t="s">
        <v>20</v>
      </c>
      <c r="H382" s="1">
        <v>42293</v>
      </c>
      <c r="I382" s="14">
        <v>2</v>
      </c>
      <c r="J382" t="s">
        <v>527</v>
      </c>
      <c r="K382" t="s">
        <v>527</v>
      </c>
      <c r="L382" t="s">
        <v>528</v>
      </c>
      <c r="M382" t="s">
        <v>528</v>
      </c>
      <c r="N382" t="s">
        <v>528</v>
      </c>
      <c r="O382" t="s">
        <v>527</v>
      </c>
    </row>
    <row r="383" spans="1:15" x14ac:dyDescent="0.2">
      <c r="A383" t="s">
        <v>402</v>
      </c>
      <c r="B383">
        <v>49</v>
      </c>
      <c r="C383" t="s">
        <v>26</v>
      </c>
      <c r="D383" t="s">
        <v>27</v>
      </c>
      <c r="E383">
        <v>75.31</v>
      </c>
      <c r="F383">
        <v>1</v>
      </c>
      <c r="G383" t="s">
        <v>36</v>
      </c>
      <c r="H383" s="1">
        <v>43452</v>
      </c>
      <c r="I383" s="14">
        <v>3</v>
      </c>
      <c r="J383" t="s">
        <v>528</v>
      </c>
      <c r="K383" t="s">
        <v>527</v>
      </c>
      <c r="L383" t="s">
        <v>528</v>
      </c>
      <c r="M383" t="s">
        <v>528</v>
      </c>
      <c r="N383" t="s">
        <v>528</v>
      </c>
      <c r="O383" t="s">
        <v>527</v>
      </c>
    </row>
    <row r="384" spans="1:15" x14ac:dyDescent="0.2">
      <c r="A384" t="s">
        <v>403</v>
      </c>
      <c r="B384">
        <v>51</v>
      </c>
      <c r="C384" t="s">
        <v>23</v>
      </c>
      <c r="D384" t="s">
        <v>27</v>
      </c>
      <c r="E384">
        <v>433.87</v>
      </c>
      <c r="F384">
        <v>0</v>
      </c>
      <c r="G384" t="s">
        <v>36</v>
      </c>
      <c r="H384" s="1">
        <v>42496</v>
      </c>
      <c r="I384" s="14">
        <v>2</v>
      </c>
      <c r="J384" t="s">
        <v>527</v>
      </c>
      <c r="K384" t="s">
        <v>527</v>
      </c>
      <c r="L384" t="s">
        <v>528</v>
      </c>
      <c r="M384" t="s">
        <v>528</v>
      </c>
      <c r="N384" t="s">
        <v>528</v>
      </c>
      <c r="O384" t="s">
        <v>527</v>
      </c>
    </row>
    <row r="385" spans="1:15" x14ac:dyDescent="0.2">
      <c r="A385" t="s">
        <v>404</v>
      </c>
      <c r="B385">
        <v>29</v>
      </c>
      <c r="C385" t="s">
        <v>23</v>
      </c>
      <c r="D385" t="s">
        <v>27</v>
      </c>
      <c r="E385">
        <v>374.45</v>
      </c>
      <c r="F385">
        <v>0</v>
      </c>
      <c r="G385" t="s">
        <v>15</v>
      </c>
      <c r="H385" s="1">
        <v>43868</v>
      </c>
      <c r="I385" s="14">
        <v>7</v>
      </c>
      <c r="J385" t="s">
        <v>527</v>
      </c>
      <c r="K385" t="s">
        <v>527</v>
      </c>
      <c r="L385" t="s">
        <v>528</v>
      </c>
      <c r="M385" t="s">
        <v>528</v>
      </c>
      <c r="N385" t="s">
        <v>528</v>
      </c>
      <c r="O385" t="s">
        <v>527</v>
      </c>
    </row>
    <row r="386" spans="1:15" x14ac:dyDescent="0.2">
      <c r="A386" t="s">
        <v>405</v>
      </c>
      <c r="B386">
        <v>58</v>
      </c>
      <c r="C386" t="s">
        <v>10</v>
      </c>
      <c r="D386" t="s">
        <v>17</v>
      </c>
      <c r="E386">
        <v>375.16</v>
      </c>
      <c r="F386">
        <v>3</v>
      </c>
      <c r="G386" t="s">
        <v>15</v>
      </c>
      <c r="H386" s="1">
        <v>45598</v>
      </c>
      <c r="I386" s="14">
        <v>2</v>
      </c>
      <c r="J386" t="s">
        <v>527</v>
      </c>
      <c r="K386" t="s">
        <v>527</v>
      </c>
      <c r="L386" t="s">
        <v>528</v>
      </c>
      <c r="M386" t="s">
        <v>528</v>
      </c>
      <c r="N386" t="s">
        <v>528</v>
      </c>
      <c r="O386" t="s">
        <v>527</v>
      </c>
    </row>
    <row r="387" spans="1:15" x14ac:dyDescent="0.2">
      <c r="A387" t="s">
        <v>406</v>
      </c>
      <c r="B387">
        <v>58</v>
      </c>
      <c r="C387" t="s">
        <v>26</v>
      </c>
      <c r="D387" t="s">
        <v>17</v>
      </c>
      <c r="E387">
        <v>350.21</v>
      </c>
      <c r="F387">
        <v>2</v>
      </c>
      <c r="G387" t="s">
        <v>15</v>
      </c>
      <c r="H387" s="1">
        <v>43336</v>
      </c>
      <c r="I387" s="14">
        <v>6</v>
      </c>
      <c r="J387" t="s">
        <v>527</v>
      </c>
      <c r="K387" t="s">
        <v>527</v>
      </c>
      <c r="L387" t="s">
        <v>528</v>
      </c>
      <c r="M387" t="s">
        <v>528</v>
      </c>
      <c r="N387" t="s">
        <v>528</v>
      </c>
      <c r="O387" t="s">
        <v>527</v>
      </c>
    </row>
    <row r="388" spans="1:15" x14ac:dyDescent="0.2">
      <c r="A388" t="s">
        <v>407</v>
      </c>
      <c r="B388">
        <v>22</v>
      </c>
      <c r="C388" t="s">
        <v>10</v>
      </c>
      <c r="D388" t="s">
        <v>17</v>
      </c>
      <c r="E388">
        <v>302.89</v>
      </c>
      <c r="F388">
        <v>0</v>
      </c>
      <c r="G388" t="s">
        <v>20</v>
      </c>
      <c r="H388" s="1">
        <v>45097</v>
      </c>
      <c r="I388" s="14">
        <v>10</v>
      </c>
      <c r="J388" t="s">
        <v>527</v>
      </c>
      <c r="K388" t="s">
        <v>527</v>
      </c>
      <c r="L388" t="s">
        <v>528</v>
      </c>
      <c r="M388" t="s">
        <v>528</v>
      </c>
      <c r="N388" t="s">
        <v>528</v>
      </c>
      <c r="O388" t="s">
        <v>527</v>
      </c>
    </row>
    <row r="389" spans="1:15" x14ac:dyDescent="0.2">
      <c r="A389" t="s">
        <v>408</v>
      </c>
      <c r="B389">
        <v>21</v>
      </c>
      <c r="C389" t="s">
        <v>10</v>
      </c>
      <c r="D389" t="s">
        <v>27</v>
      </c>
      <c r="E389">
        <v>318.52999999999997</v>
      </c>
      <c r="F389">
        <v>2</v>
      </c>
      <c r="G389" t="s">
        <v>15</v>
      </c>
      <c r="H389" s="1">
        <v>42210</v>
      </c>
      <c r="I389" s="14">
        <v>3</v>
      </c>
      <c r="J389" t="s">
        <v>527</v>
      </c>
      <c r="K389" t="s">
        <v>527</v>
      </c>
      <c r="L389" t="s">
        <v>528</v>
      </c>
      <c r="M389" t="s">
        <v>528</v>
      </c>
      <c r="N389" t="s">
        <v>528</v>
      </c>
      <c r="O389" t="s">
        <v>527</v>
      </c>
    </row>
    <row r="390" spans="1:15" x14ac:dyDescent="0.2">
      <c r="A390" t="s">
        <v>409</v>
      </c>
      <c r="B390">
        <v>68</v>
      </c>
      <c r="C390" t="s">
        <v>10</v>
      </c>
      <c r="D390" t="s">
        <v>27</v>
      </c>
      <c r="E390">
        <v>106.71</v>
      </c>
      <c r="F390">
        <v>1</v>
      </c>
      <c r="G390" t="s">
        <v>12</v>
      </c>
      <c r="H390" s="1">
        <v>43300</v>
      </c>
      <c r="I390" s="14">
        <v>8</v>
      </c>
      <c r="J390" t="s">
        <v>527</v>
      </c>
      <c r="K390" t="s">
        <v>527</v>
      </c>
      <c r="L390" t="s">
        <v>528</v>
      </c>
      <c r="M390" t="s">
        <v>528</v>
      </c>
      <c r="N390" t="s">
        <v>528</v>
      </c>
      <c r="O390" t="s">
        <v>527</v>
      </c>
    </row>
    <row r="391" spans="1:15" x14ac:dyDescent="0.2">
      <c r="A391" t="s">
        <v>410</v>
      </c>
      <c r="B391">
        <v>72</v>
      </c>
      <c r="C391" t="s">
        <v>26</v>
      </c>
      <c r="D391" t="s">
        <v>11</v>
      </c>
      <c r="E391">
        <v>104.16</v>
      </c>
      <c r="F391">
        <v>4</v>
      </c>
      <c r="G391" t="s">
        <v>12</v>
      </c>
      <c r="H391" s="1">
        <v>45586</v>
      </c>
      <c r="I391" s="14">
        <v>9</v>
      </c>
      <c r="J391" t="s">
        <v>527</v>
      </c>
      <c r="K391" t="s">
        <v>527</v>
      </c>
      <c r="L391" t="s">
        <v>528</v>
      </c>
      <c r="M391" t="s">
        <v>528</v>
      </c>
      <c r="N391" t="s">
        <v>528</v>
      </c>
      <c r="O391" t="s">
        <v>527</v>
      </c>
    </row>
    <row r="392" spans="1:15" x14ac:dyDescent="0.2">
      <c r="A392" t="s">
        <v>411</v>
      </c>
      <c r="B392">
        <v>35</v>
      </c>
      <c r="C392" t="s">
        <v>10</v>
      </c>
      <c r="D392" t="s">
        <v>17</v>
      </c>
      <c r="E392">
        <v>456.34</v>
      </c>
      <c r="F392">
        <v>1</v>
      </c>
      <c r="G392" t="s">
        <v>12</v>
      </c>
      <c r="H392" s="1">
        <v>45425</v>
      </c>
      <c r="I392" s="14">
        <v>3</v>
      </c>
      <c r="J392" t="s">
        <v>527</v>
      </c>
      <c r="K392" t="s">
        <v>527</v>
      </c>
      <c r="L392" t="s">
        <v>528</v>
      </c>
      <c r="M392" t="s">
        <v>528</v>
      </c>
      <c r="N392" t="s">
        <v>528</v>
      </c>
      <c r="O392" t="s">
        <v>527</v>
      </c>
    </row>
    <row r="393" spans="1:15" x14ac:dyDescent="0.2">
      <c r="A393" t="s">
        <v>412</v>
      </c>
      <c r="B393">
        <v>25</v>
      </c>
      <c r="C393" t="s">
        <v>10</v>
      </c>
      <c r="D393" t="s">
        <v>27</v>
      </c>
      <c r="E393">
        <v>115.19</v>
      </c>
      <c r="F393">
        <v>3</v>
      </c>
      <c r="G393" t="s">
        <v>15</v>
      </c>
      <c r="H393" s="1">
        <v>43078</v>
      </c>
      <c r="I393" s="14">
        <v>1</v>
      </c>
      <c r="J393" t="s">
        <v>528</v>
      </c>
      <c r="K393" t="s">
        <v>528</v>
      </c>
      <c r="L393" t="s">
        <v>527</v>
      </c>
      <c r="M393" t="s">
        <v>528</v>
      </c>
      <c r="N393" t="s">
        <v>528</v>
      </c>
      <c r="O393" t="s">
        <v>527</v>
      </c>
    </row>
    <row r="394" spans="1:15" x14ac:dyDescent="0.2">
      <c r="A394" t="s">
        <v>413</v>
      </c>
      <c r="B394">
        <v>45</v>
      </c>
      <c r="C394" t="s">
        <v>26</v>
      </c>
      <c r="D394" t="s">
        <v>27</v>
      </c>
      <c r="E394">
        <v>310.94</v>
      </c>
      <c r="F394">
        <v>3</v>
      </c>
      <c r="G394" t="s">
        <v>15</v>
      </c>
      <c r="H394" s="1">
        <v>44531</v>
      </c>
      <c r="I394" s="14">
        <v>2</v>
      </c>
      <c r="J394" t="s">
        <v>527</v>
      </c>
      <c r="K394" t="s">
        <v>527</v>
      </c>
      <c r="L394" t="s">
        <v>528</v>
      </c>
      <c r="M394" t="s">
        <v>528</v>
      </c>
      <c r="N394" t="s">
        <v>528</v>
      </c>
      <c r="O394" t="s">
        <v>527</v>
      </c>
    </row>
    <row r="395" spans="1:15" x14ac:dyDescent="0.2">
      <c r="A395" t="s">
        <v>414</v>
      </c>
      <c r="B395">
        <v>59</v>
      </c>
      <c r="C395" t="s">
        <v>10</v>
      </c>
      <c r="D395" t="s">
        <v>11</v>
      </c>
      <c r="E395">
        <v>412.85</v>
      </c>
      <c r="F395">
        <v>0</v>
      </c>
      <c r="G395" t="s">
        <v>15</v>
      </c>
      <c r="H395" s="1">
        <v>45418</v>
      </c>
      <c r="I395" s="14">
        <v>5</v>
      </c>
      <c r="J395" t="s">
        <v>527</v>
      </c>
      <c r="K395" t="s">
        <v>528</v>
      </c>
      <c r="L395" t="s">
        <v>527</v>
      </c>
      <c r="M395" t="s">
        <v>527</v>
      </c>
      <c r="N395" t="s">
        <v>527</v>
      </c>
      <c r="O395" t="s">
        <v>528</v>
      </c>
    </row>
    <row r="396" spans="1:15" x14ac:dyDescent="0.2">
      <c r="A396" t="s">
        <v>415</v>
      </c>
      <c r="B396">
        <v>27</v>
      </c>
      <c r="C396" t="s">
        <v>26</v>
      </c>
      <c r="D396" t="s">
        <v>17</v>
      </c>
      <c r="E396">
        <v>440.52</v>
      </c>
      <c r="F396">
        <v>0</v>
      </c>
      <c r="G396" t="s">
        <v>20</v>
      </c>
      <c r="H396" s="1">
        <v>44946</v>
      </c>
      <c r="I396" s="14">
        <v>10</v>
      </c>
      <c r="J396" t="s">
        <v>527</v>
      </c>
      <c r="K396" t="s">
        <v>527</v>
      </c>
      <c r="L396" t="s">
        <v>528</v>
      </c>
      <c r="M396" t="s">
        <v>528</v>
      </c>
      <c r="N396" t="s">
        <v>528</v>
      </c>
      <c r="O396" t="s">
        <v>528</v>
      </c>
    </row>
    <row r="397" spans="1:15" x14ac:dyDescent="0.2">
      <c r="A397" t="s">
        <v>416</v>
      </c>
      <c r="B397">
        <v>27</v>
      </c>
      <c r="C397" t="s">
        <v>10</v>
      </c>
      <c r="D397" t="s">
        <v>27</v>
      </c>
      <c r="E397">
        <v>128.29</v>
      </c>
      <c r="F397">
        <v>2</v>
      </c>
      <c r="G397" t="s">
        <v>15</v>
      </c>
      <c r="H397" s="1">
        <v>44012</v>
      </c>
      <c r="I397" s="14">
        <v>1</v>
      </c>
      <c r="J397" t="s">
        <v>527</v>
      </c>
      <c r="K397" t="s">
        <v>527</v>
      </c>
      <c r="L397" t="s">
        <v>528</v>
      </c>
      <c r="M397" t="s">
        <v>528</v>
      </c>
      <c r="N397" t="s">
        <v>528</v>
      </c>
      <c r="O397" t="s">
        <v>527</v>
      </c>
    </row>
    <row r="398" spans="1:15" x14ac:dyDescent="0.2">
      <c r="A398" t="s">
        <v>417</v>
      </c>
      <c r="B398">
        <v>46</v>
      </c>
      <c r="C398" t="s">
        <v>23</v>
      </c>
      <c r="D398" t="s">
        <v>27</v>
      </c>
      <c r="E398">
        <v>76.94</v>
      </c>
      <c r="F398">
        <v>2</v>
      </c>
      <c r="G398" t="s">
        <v>12</v>
      </c>
      <c r="H398" s="1">
        <v>42410</v>
      </c>
      <c r="I398" s="14">
        <v>3</v>
      </c>
      <c r="J398" t="s">
        <v>528</v>
      </c>
      <c r="K398" t="s">
        <v>527</v>
      </c>
      <c r="L398" t="s">
        <v>528</v>
      </c>
      <c r="M398" t="s">
        <v>528</v>
      </c>
      <c r="N398" t="s">
        <v>528</v>
      </c>
      <c r="O398" t="s">
        <v>527</v>
      </c>
    </row>
    <row r="399" spans="1:15" x14ac:dyDescent="0.2">
      <c r="A399" t="s">
        <v>418</v>
      </c>
      <c r="B399">
        <v>21</v>
      </c>
      <c r="C399" t="s">
        <v>10</v>
      </c>
      <c r="D399" t="s">
        <v>17</v>
      </c>
      <c r="E399">
        <v>486.28</v>
      </c>
      <c r="F399">
        <v>3</v>
      </c>
      <c r="G399" t="s">
        <v>20</v>
      </c>
      <c r="H399" s="1">
        <v>42525</v>
      </c>
      <c r="I399" s="14">
        <v>7</v>
      </c>
      <c r="J399" t="s">
        <v>527</v>
      </c>
      <c r="K399" t="s">
        <v>527</v>
      </c>
      <c r="L399" t="s">
        <v>528</v>
      </c>
      <c r="M399" t="s">
        <v>528</v>
      </c>
      <c r="N399" t="s">
        <v>528</v>
      </c>
      <c r="O399" t="s">
        <v>527</v>
      </c>
    </row>
    <row r="400" spans="1:15" x14ac:dyDescent="0.2">
      <c r="A400" t="s">
        <v>419</v>
      </c>
      <c r="B400">
        <v>36</v>
      </c>
      <c r="C400" t="s">
        <v>23</v>
      </c>
      <c r="D400" t="s">
        <v>27</v>
      </c>
      <c r="E400">
        <v>488.67</v>
      </c>
      <c r="F400">
        <v>2</v>
      </c>
      <c r="G400" t="s">
        <v>15</v>
      </c>
      <c r="H400" s="1">
        <v>43297</v>
      </c>
      <c r="I400" s="14">
        <v>3</v>
      </c>
      <c r="J400" t="s">
        <v>527</v>
      </c>
      <c r="K400" t="s">
        <v>527</v>
      </c>
      <c r="L400" t="s">
        <v>528</v>
      </c>
      <c r="M400" t="s">
        <v>528</v>
      </c>
      <c r="N400" t="s">
        <v>528</v>
      </c>
      <c r="O400" t="s">
        <v>527</v>
      </c>
    </row>
    <row r="401" spans="1:15" x14ac:dyDescent="0.2">
      <c r="A401" t="s">
        <v>420</v>
      </c>
      <c r="B401">
        <v>58</v>
      </c>
      <c r="C401" t="s">
        <v>26</v>
      </c>
      <c r="D401" t="s">
        <v>27</v>
      </c>
      <c r="E401">
        <v>89.27</v>
      </c>
      <c r="F401">
        <v>1</v>
      </c>
      <c r="G401" t="s">
        <v>36</v>
      </c>
      <c r="H401" s="1">
        <v>44540</v>
      </c>
      <c r="I401" s="14">
        <v>9</v>
      </c>
      <c r="J401" t="s">
        <v>528</v>
      </c>
      <c r="K401" t="s">
        <v>527</v>
      </c>
      <c r="L401" t="s">
        <v>528</v>
      </c>
      <c r="M401" t="s">
        <v>528</v>
      </c>
      <c r="N401" t="s">
        <v>528</v>
      </c>
      <c r="O401" t="s">
        <v>527</v>
      </c>
    </row>
    <row r="402" spans="1:15" x14ac:dyDescent="0.2">
      <c r="A402" t="s">
        <v>421</v>
      </c>
      <c r="B402">
        <v>44</v>
      </c>
      <c r="C402" t="s">
        <v>23</v>
      </c>
      <c r="D402" t="s">
        <v>11</v>
      </c>
      <c r="E402">
        <v>307.82</v>
      </c>
      <c r="F402">
        <v>4</v>
      </c>
      <c r="G402" t="s">
        <v>12</v>
      </c>
      <c r="H402" s="1">
        <v>43322</v>
      </c>
      <c r="I402" s="14">
        <v>10</v>
      </c>
      <c r="J402" t="s">
        <v>527</v>
      </c>
      <c r="K402" t="s">
        <v>527</v>
      </c>
      <c r="L402" t="s">
        <v>528</v>
      </c>
      <c r="M402" t="s">
        <v>528</v>
      </c>
      <c r="N402" t="s">
        <v>528</v>
      </c>
      <c r="O402" t="s">
        <v>527</v>
      </c>
    </row>
    <row r="403" spans="1:15" hidden="1" x14ac:dyDescent="0.2">
      <c r="A403" t="s">
        <v>422</v>
      </c>
      <c r="B403">
        <v>65</v>
      </c>
      <c r="C403" t="s">
        <v>14</v>
      </c>
      <c r="D403" t="s">
        <v>17</v>
      </c>
      <c r="F403">
        <v>2</v>
      </c>
      <c r="G403" t="s">
        <v>36</v>
      </c>
      <c r="H403" s="1">
        <v>43726</v>
      </c>
      <c r="I403">
        <v>2</v>
      </c>
      <c r="J403" t="s">
        <v>528</v>
      </c>
      <c r="K403" t="s">
        <v>527</v>
      </c>
      <c r="L403" t="s">
        <v>528</v>
      </c>
      <c r="M403" t="s">
        <v>528</v>
      </c>
      <c r="N403" t="s">
        <v>528</v>
      </c>
      <c r="O403" t="s">
        <v>527</v>
      </c>
    </row>
    <row r="404" spans="1:15" x14ac:dyDescent="0.2">
      <c r="A404" t="s">
        <v>423</v>
      </c>
      <c r="B404">
        <v>77</v>
      </c>
      <c r="C404" t="s">
        <v>26</v>
      </c>
      <c r="D404" t="s">
        <v>27</v>
      </c>
      <c r="E404">
        <v>497.56</v>
      </c>
      <c r="F404">
        <v>0</v>
      </c>
      <c r="G404" t="s">
        <v>15</v>
      </c>
      <c r="H404" s="1">
        <v>45233</v>
      </c>
      <c r="I404" s="14">
        <v>2</v>
      </c>
      <c r="J404" t="s">
        <v>527</v>
      </c>
      <c r="K404" t="s">
        <v>527</v>
      </c>
      <c r="L404" t="s">
        <v>528</v>
      </c>
      <c r="M404" t="s">
        <v>528</v>
      </c>
      <c r="N404" t="s">
        <v>528</v>
      </c>
      <c r="O404" t="s">
        <v>527</v>
      </c>
    </row>
    <row r="405" spans="1:15" x14ac:dyDescent="0.2">
      <c r="A405" t="s">
        <v>424</v>
      </c>
      <c r="B405">
        <v>27</v>
      </c>
      <c r="C405" t="s">
        <v>23</v>
      </c>
      <c r="D405" t="s">
        <v>11</v>
      </c>
      <c r="E405">
        <v>190.8</v>
      </c>
      <c r="F405">
        <v>1</v>
      </c>
      <c r="G405" t="s">
        <v>15</v>
      </c>
      <c r="H405" s="1">
        <v>45601</v>
      </c>
      <c r="I405" s="14">
        <v>10</v>
      </c>
      <c r="J405" t="s">
        <v>528</v>
      </c>
      <c r="K405" t="s">
        <v>527</v>
      </c>
      <c r="L405" t="s">
        <v>528</v>
      </c>
      <c r="M405" t="s">
        <v>528</v>
      </c>
      <c r="N405" t="s">
        <v>528</v>
      </c>
      <c r="O405" t="s">
        <v>527</v>
      </c>
    </row>
    <row r="406" spans="1:15" hidden="1" x14ac:dyDescent="0.2">
      <c r="A406" t="s">
        <v>425</v>
      </c>
      <c r="B406">
        <v>21</v>
      </c>
      <c r="C406" t="s">
        <v>23</v>
      </c>
      <c r="D406" t="s">
        <v>17</v>
      </c>
      <c r="F406">
        <v>0</v>
      </c>
      <c r="G406" t="s">
        <v>20</v>
      </c>
      <c r="H406" s="1">
        <v>45665</v>
      </c>
      <c r="I406">
        <v>7</v>
      </c>
      <c r="J406" t="s">
        <v>527</v>
      </c>
      <c r="K406" t="s">
        <v>527</v>
      </c>
      <c r="L406" t="s">
        <v>528</v>
      </c>
      <c r="M406" t="s">
        <v>528</v>
      </c>
      <c r="N406" t="s">
        <v>528</v>
      </c>
      <c r="O406" t="s">
        <v>528</v>
      </c>
    </row>
    <row r="407" spans="1:15" x14ac:dyDescent="0.2">
      <c r="A407" t="s">
        <v>426</v>
      </c>
      <c r="B407">
        <v>40</v>
      </c>
      <c r="C407" t="s">
        <v>26</v>
      </c>
      <c r="D407" t="s">
        <v>27</v>
      </c>
      <c r="E407">
        <v>142.47999999999999</v>
      </c>
      <c r="F407">
        <v>2</v>
      </c>
      <c r="G407" t="s">
        <v>12</v>
      </c>
      <c r="H407" s="1">
        <v>43779</v>
      </c>
      <c r="I407" s="14">
        <v>10</v>
      </c>
      <c r="J407" t="s">
        <v>528</v>
      </c>
      <c r="K407" t="s">
        <v>527</v>
      </c>
      <c r="L407" t="s">
        <v>528</v>
      </c>
      <c r="M407" t="s">
        <v>528</v>
      </c>
      <c r="N407" t="s">
        <v>528</v>
      </c>
      <c r="O407" t="s">
        <v>528</v>
      </c>
    </row>
    <row r="408" spans="1:15" x14ac:dyDescent="0.2">
      <c r="A408" t="s">
        <v>427</v>
      </c>
      <c r="B408">
        <v>18</v>
      </c>
      <c r="C408" t="s">
        <v>544</v>
      </c>
      <c r="D408" t="s">
        <v>11</v>
      </c>
      <c r="E408">
        <v>331.49</v>
      </c>
      <c r="F408">
        <v>3</v>
      </c>
      <c r="G408" t="s">
        <v>36</v>
      </c>
      <c r="H408" s="1">
        <v>44985</v>
      </c>
      <c r="I408" s="14">
        <v>3</v>
      </c>
      <c r="J408" t="s">
        <v>527</v>
      </c>
      <c r="K408" t="s">
        <v>527</v>
      </c>
      <c r="L408" t="s">
        <v>528</v>
      </c>
      <c r="M408" t="s">
        <v>528</v>
      </c>
      <c r="N408" t="s">
        <v>528</v>
      </c>
      <c r="O408" t="s">
        <v>527</v>
      </c>
    </row>
    <row r="409" spans="1:15" x14ac:dyDescent="0.2">
      <c r="A409" t="s">
        <v>428</v>
      </c>
      <c r="B409">
        <v>25</v>
      </c>
      <c r="C409" t="s">
        <v>10</v>
      </c>
      <c r="D409" t="s">
        <v>27</v>
      </c>
      <c r="E409">
        <v>194.98</v>
      </c>
      <c r="F409">
        <v>3</v>
      </c>
      <c r="G409" t="s">
        <v>15</v>
      </c>
      <c r="H409" s="1">
        <v>43995</v>
      </c>
      <c r="I409" s="14">
        <v>4</v>
      </c>
      <c r="J409" t="s">
        <v>528</v>
      </c>
      <c r="K409" t="s">
        <v>527</v>
      </c>
      <c r="L409" t="s">
        <v>528</v>
      </c>
      <c r="M409" t="s">
        <v>528</v>
      </c>
      <c r="N409" t="s">
        <v>528</v>
      </c>
      <c r="O409" t="s">
        <v>527</v>
      </c>
    </row>
    <row r="410" spans="1:15" x14ac:dyDescent="0.2">
      <c r="A410" t="s">
        <v>429</v>
      </c>
      <c r="B410">
        <v>32</v>
      </c>
      <c r="C410" t="s">
        <v>26</v>
      </c>
      <c r="D410" t="s">
        <v>27</v>
      </c>
      <c r="E410">
        <v>413.66</v>
      </c>
      <c r="F410">
        <v>0</v>
      </c>
      <c r="G410" t="s">
        <v>15</v>
      </c>
      <c r="H410" s="1">
        <v>42585</v>
      </c>
      <c r="I410" s="14">
        <v>6</v>
      </c>
      <c r="J410" t="s">
        <v>527</v>
      </c>
      <c r="K410" t="s">
        <v>527</v>
      </c>
      <c r="L410" t="s">
        <v>528</v>
      </c>
      <c r="M410" t="s">
        <v>528</v>
      </c>
      <c r="N410" t="s">
        <v>528</v>
      </c>
      <c r="O410" t="s">
        <v>527</v>
      </c>
    </row>
    <row r="411" spans="1:15" x14ac:dyDescent="0.2">
      <c r="A411" t="s">
        <v>430</v>
      </c>
      <c r="B411">
        <v>69</v>
      </c>
      <c r="C411" t="s">
        <v>10</v>
      </c>
      <c r="D411" t="s">
        <v>27</v>
      </c>
      <c r="E411">
        <v>321.08999999999997</v>
      </c>
      <c r="F411">
        <v>4</v>
      </c>
      <c r="G411" t="s">
        <v>20</v>
      </c>
      <c r="H411" s="1">
        <v>42577</v>
      </c>
      <c r="I411" s="14">
        <v>10</v>
      </c>
      <c r="J411" t="s">
        <v>527</v>
      </c>
      <c r="K411" t="s">
        <v>527</v>
      </c>
      <c r="L411" t="s">
        <v>528</v>
      </c>
      <c r="M411" t="s">
        <v>528</v>
      </c>
      <c r="N411" t="s">
        <v>528</v>
      </c>
      <c r="O411" t="s">
        <v>527</v>
      </c>
    </row>
    <row r="412" spans="1:15" hidden="1" x14ac:dyDescent="0.2">
      <c r="A412" t="s">
        <v>431</v>
      </c>
      <c r="B412">
        <v>48</v>
      </c>
      <c r="C412" t="s">
        <v>19</v>
      </c>
      <c r="D412" t="s">
        <v>27</v>
      </c>
      <c r="F412">
        <v>0</v>
      </c>
      <c r="G412" t="s">
        <v>20</v>
      </c>
      <c r="H412" s="1">
        <v>45168</v>
      </c>
      <c r="I412"/>
      <c r="J412" t="s">
        <v>528</v>
      </c>
      <c r="K412" t="s">
        <v>527</v>
      </c>
      <c r="L412" t="s">
        <v>528</v>
      </c>
      <c r="M412" t="s">
        <v>528</v>
      </c>
      <c r="N412" t="s">
        <v>528</v>
      </c>
      <c r="O412" t="s">
        <v>527</v>
      </c>
    </row>
    <row r="413" spans="1:15" x14ac:dyDescent="0.2">
      <c r="A413" t="s">
        <v>432</v>
      </c>
      <c r="B413">
        <v>48</v>
      </c>
      <c r="C413" t="s">
        <v>10</v>
      </c>
      <c r="D413" t="s">
        <v>27</v>
      </c>
      <c r="E413">
        <v>230.35</v>
      </c>
      <c r="F413">
        <v>4</v>
      </c>
      <c r="G413" t="s">
        <v>20</v>
      </c>
      <c r="H413" s="1">
        <v>42230</v>
      </c>
      <c r="I413" s="14">
        <v>2</v>
      </c>
      <c r="J413" t="s">
        <v>527</v>
      </c>
      <c r="K413" t="s">
        <v>527</v>
      </c>
      <c r="L413" t="s">
        <v>528</v>
      </c>
      <c r="M413" t="s">
        <v>528</v>
      </c>
      <c r="N413" t="s">
        <v>528</v>
      </c>
      <c r="O413" t="s">
        <v>527</v>
      </c>
    </row>
    <row r="414" spans="1:15" x14ac:dyDescent="0.2">
      <c r="A414" t="s">
        <v>433</v>
      </c>
      <c r="B414">
        <v>50</v>
      </c>
      <c r="C414" t="s">
        <v>26</v>
      </c>
      <c r="D414" t="s">
        <v>17</v>
      </c>
      <c r="E414">
        <v>60.3</v>
      </c>
      <c r="F414">
        <v>1</v>
      </c>
      <c r="G414" t="s">
        <v>15</v>
      </c>
      <c r="H414" s="1">
        <v>45704</v>
      </c>
      <c r="I414" s="14">
        <v>5</v>
      </c>
      <c r="J414" t="s">
        <v>527</v>
      </c>
      <c r="K414" t="s">
        <v>527</v>
      </c>
      <c r="L414" t="s">
        <v>528</v>
      </c>
      <c r="M414" t="s">
        <v>528</v>
      </c>
      <c r="N414" t="s">
        <v>528</v>
      </c>
      <c r="O414" t="s">
        <v>527</v>
      </c>
    </row>
    <row r="415" spans="1:15" x14ac:dyDescent="0.2">
      <c r="A415" t="s">
        <v>434</v>
      </c>
      <c r="B415">
        <v>46</v>
      </c>
      <c r="C415" t="s">
        <v>10</v>
      </c>
      <c r="D415" t="s">
        <v>11</v>
      </c>
      <c r="E415">
        <v>242.61</v>
      </c>
      <c r="F415">
        <v>0</v>
      </c>
      <c r="G415" t="s">
        <v>12</v>
      </c>
      <c r="H415" s="1">
        <v>42094</v>
      </c>
      <c r="I415" s="14">
        <v>4</v>
      </c>
      <c r="J415" t="s">
        <v>527</v>
      </c>
      <c r="K415" t="s">
        <v>527</v>
      </c>
      <c r="L415" t="s">
        <v>528</v>
      </c>
      <c r="M415" t="s">
        <v>528</v>
      </c>
      <c r="N415" t="s">
        <v>528</v>
      </c>
      <c r="O415" t="s">
        <v>527</v>
      </c>
    </row>
    <row r="416" spans="1:15" x14ac:dyDescent="0.2">
      <c r="A416" t="s">
        <v>435</v>
      </c>
      <c r="B416">
        <v>61</v>
      </c>
      <c r="C416" t="s">
        <v>10</v>
      </c>
      <c r="D416" t="s">
        <v>11</v>
      </c>
      <c r="E416">
        <v>234.37</v>
      </c>
      <c r="F416">
        <v>2</v>
      </c>
      <c r="G416" t="s">
        <v>12</v>
      </c>
      <c r="H416" s="1">
        <v>43457</v>
      </c>
      <c r="I416" s="14">
        <v>2</v>
      </c>
      <c r="J416" t="s">
        <v>527</v>
      </c>
      <c r="K416" t="s">
        <v>527</v>
      </c>
      <c r="L416" t="s">
        <v>528</v>
      </c>
      <c r="M416" t="s">
        <v>528</v>
      </c>
      <c r="N416" t="s">
        <v>528</v>
      </c>
      <c r="O416" t="s">
        <v>527</v>
      </c>
    </row>
    <row r="417" spans="1:15" x14ac:dyDescent="0.2">
      <c r="A417" t="s">
        <v>436</v>
      </c>
      <c r="B417">
        <v>73</v>
      </c>
      <c r="C417" t="s">
        <v>26</v>
      </c>
      <c r="D417" t="s">
        <v>11</v>
      </c>
      <c r="E417">
        <v>362.35</v>
      </c>
      <c r="F417">
        <v>0</v>
      </c>
      <c r="G417" t="s">
        <v>15</v>
      </c>
      <c r="H417" s="1">
        <v>44476</v>
      </c>
      <c r="I417" s="14">
        <v>1</v>
      </c>
      <c r="J417" t="s">
        <v>527</v>
      </c>
      <c r="K417" t="s">
        <v>527</v>
      </c>
      <c r="L417" t="s">
        <v>528</v>
      </c>
      <c r="M417" t="s">
        <v>528</v>
      </c>
      <c r="N417" t="s">
        <v>528</v>
      </c>
      <c r="O417" t="s">
        <v>527</v>
      </c>
    </row>
    <row r="418" spans="1:15" x14ac:dyDescent="0.2">
      <c r="A418" t="s">
        <v>437</v>
      </c>
      <c r="B418">
        <v>51</v>
      </c>
      <c r="C418" t="s">
        <v>10</v>
      </c>
      <c r="D418" t="s">
        <v>27</v>
      </c>
      <c r="E418">
        <v>65.5</v>
      </c>
      <c r="F418">
        <v>1</v>
      </c>
      <c r="G418" t="s">
        <v>12</v>
      </c>
      <c r="H418" s="1">
        <v>45304</v>
      </c>
      <c r="I418" s="14">
        <v>5</v>
      </c>
      <c r="J418" t="s">
        <v>527</v>
      </c>
      <c r="K418" t="s">
        <v>528</v>
      </c>
      <c r="L418" t="s">
        <v>527</v>
      </c>
      <c r="M418" t="s">
        <v>528</v>
      </c>
      <c r="N418" t="s">
        <v>528</v>
      </c>
      <c r="O418" t="s">
        <v>527</v>
      </c>
    </row>
    <row r="419" spans="1:15" x14ac:dyDescent="0.2">
      <c r="A419" t="s">
        <v>438</v>
      </c>
      <c r="B419">
        <v>75</v>
      </c>
      <c r="C419" t="s">
        <v>26</v>
      </c>
      <c r="D419" t="s">
        <v>17</v>
      </c>
      <c r="E419">
        <v>403.41</v>
      </c>
      <c r="F419">
        <v>2</v>
      </c>
      <c r="G419" t="s">
        <v>20</v>
      </c>
      <c r="H419" s="1">
        <v>44005</v>
      </c>
      <c r="I419" s="14">
        <v>1</v>
      </c>
      <c r="J419" t="s">
        <v>527</v>
      </c>
      <c r="K419" t="s">
        <v>527</v>
      </c>
      <c r="L419" t="s">
        <v>528</v>
      </c>
      <c r="M419" t="s">
        <v>528</v>
      </c>
      <c r="N419" t="s">
        <v>528</v>
      </c>
      <c r="O419" t="s">
        <v>527</v>
      </c>
    </row>
    <row r="420" spans="1:15" x14ac:dyDescent="0.2">
      <c r="A420" t="s">
        <v>439</v>
      </c>
      <c r="B420">
        <v>25</v>
      </c>
      <c r="C420" t="s">
        <v>10</v>
      </c>
      <c r="D420" t="s">
        <v>11</v>
      </c>
      <c r="E420">
        <v>155.43</v>
      </c>
      <c r="F420">
        <v>3</v>
      </c>
      <c r="G420" t="s">
        <v>20</v>
      </c>
      <c r="H420" s="1">
        <v>42159</v>
      </c>
      <c r="I420" s="14">
        <v>9</v>
      </c>
      <c r="J420" t="s">
        <v>528</v>
      </c>
      <c r="K420" t="s">
        <v>527</v>
      </c>
      <c r="L420" t="s">
        <v>528</v>
      </c>
      <c r="M420" t="s">
        <v>528</v>
      </c>
      <c r="N420" t="s">
        <v>528</v>
      </c>
      <c r="O420" t="s">
        <v>527</v>
      </c>
    </row>
    <row r="421" spans="1:15" x14ac:dyDescent="0.2">
      <c r="A421" t="s">
        <v>440</v>
      </c>
      <c r="B421">
        <v>55</v>
      </c>
      <c r="C421" t="s">
        <v>23</v>
      </c>
      <c r="D421" t="s">
        <v>27</v>
      </c>
      <c r="E421">
        <v>195.87</v>
      </c>
      <c r="F421">
        <v>4</v>
      </c>
      <c r="G421" t="s">
        <v>36</v>
      </c>
      <c r="H421" s="1">
        <v>42560</v>
      </c>
      <c r="I421" s="14">
        <v>3</v>
      </c>
      <c r="J421" t="s">
        <v>528</v>
      </c>
      <c r="K421" t="s">
        <v>528</v>
      </c>
      <c r="L421" t="s">
        <v>527</v>
      </c>
      <c r="M421" t="s">
        <v>528</v>
      </c>
      <c r="N421" t="s">
        <v>528</v>
      </c>
      <c r="O421" t="s">
        <v>527</v>
      </c>
    </row>
    <row r="422" spans="1:15" x14ac:dyDescent="0.2">
      <c r="A422" t="s">
        <v>441</v>
      </c>
      <c r="B422">
        <v>18</v>
      </c>
      <c r="C422" t="s">
        <v>26</v>
      </c>
      <c r="D422" t="s">
        <v>27</v>
      </c>
      <c r="E422">
        <v>263.33</v>
      </c>
      <c r="F422">
        <v>1</v>
      </c>
      <c r="G422" t="s">
        <v>12</v>
      </c>
      <c r="H422" s="1">
        <v>44608</v>
      </c>
      <c r="I422" s="14">
        <v>6</v>
      </c>
      <c r="J422" t="s">
        <v>527</v>
      </c>
      <c r="K422" t="s">
        <v>527</v>
      </c>
      <c r="L422" t="s">
        <v>528</v>
      </c>
      <c r="M422" t="s">
        <v>528</v>
      </c>
      <c r="N422" t="s">
        <v>528</v>
      </c>
      <c r="O422" t="s">
        <v>527</v>
      </c>
    </row>
    <row r="423" spans="1:15" x14ac:dyDescent="0.2">
      <c r="A423" t="s">
        <v>442</v>
      </c>
      <c r="B423">
        <v>72</v>
      </c>
      <c r="C423" t="s">
        <v>10</v>
      </c>
      <c r="D423" t="s">
        <v>11</v>
      </c>
      <c r="E423">
        <v>198.02</v>
      </c>
      <c r="F423">
        <v>0</v>
      </c>
      <c r="G423" t="s">
        <v>20</v>
      </c>
      <c r="H423" s="1">
        <v>43985</v>
      </c>
      <c r="I423" s="14">
        <v>8</v>
      </c>
      <c r="J423" t="s">
        <v>528</v>
      </c>
      <c r="K423" t="s">
        <v>527</v>
      </c>
      <c r="L423" t="s">
        <v>528</v>
      </c>
      <c r="M423" t="s">
        <v>528</v>
      </c>
      <c r="N423" t="s">
        <v>528</v>
      </c>
      <c r="O423" t="s">
        <v>527</v>
      </c>
    </row>
    <row r="424" spans="1:15" x14ac:dyDescent="0.2">
      <c r="A424" t="s">
        <v>443</v>
      </c>
      <c r="B424">
        <v>72</v>
      </c>
      <c r="C424" t="s">
        <v>26</v>
      </c>
      <c r="D424" t="s">
        <v>27</v>
      </c>
      <c r="E424">
        <v>487.13</v>
      </c>
      <c r="F424">
        <v>4</v>
      </c>
      <c r="G424" t="s">
        <v>12</v>
      </c>
      <c r="H424" s="1">
        <v>45516</v>
      </c>
      <c r="I424" s="14">
        <v>6</v>
      </c>
      <c r="J424" t="s">
        <v>527</v>
      </c>
      <c r="K424" t="s">
        <v>527</v>
      </c>
      <c r="L424" t="s">
        <v>528</v>
      </c>
      <c r="M424" t="s">
        <v>528</v>
      </c>
      <c r="N424" t="s">
        <v>528</v>
      </c>
      <c r="O424" t="s">
        <v>527</v>
      </c>
    </row>
    <row r="425" spans="1:15" x14ac:dyDescent="0.2">
      <c r="A425" t="s">
        <v>444</v>
      </c>
      <c r="B425">
        <v>37</v>
      </c>
      <c r="C425" t="s">
        <v>26</v>
      </c>
      <c r="D425" t="s">
        <v>17</v>
      </c>
      <c r="E425">
        <v>458.93</v>
      </c>
      <c r="F425">
        <v>3</v>
      </c>
      <c r="G425" t="s">
        <v>36</v>
      </c>
      <c r="H425" s="1">
        <v>43350</v>
      </c>
      <c r="I425" s="14">
        <v>5</v>
      </c>
      <c r="J425" t="s">
        <v>527</v>
      </c>
      <c r="K425" t="s">
        <v>527</v>
      </c>
      <c r="L425" t="s">
        <v>528</v>
      </c>
      <c r="M425" t="s">
        <v>528</v>
      </c>
      <c r="N425" t="s">
        <v>528</v>
      </c>
      <c r="O425" t="s">
        <v>527</v>
      </c>
    </row>
    <row r="426" spans="1:15" x14ac:dyDescent="0.2">
      <c r="A426" t="s">
        <v>445</v>
      </c>
      <c r="B426">
        <v>59</v>
      </c>
      <c r="C426" t="s">
        <v>26</v>
      </c>
      <c r="D426" t="s">
        <v>11</v>
      </c>
      <c r="E426">
        <v>169.27</v>
      </c>
      <c r="F426">
        <v>1</v>
      </c>
      <c r="G426" t="s">
        <v>12</v>
      </c>
      <c r="H426" s="1">
        <v>43701</v>
      </c>
      <c r="I426" s="14">
        <v>6</v>
      </c>
      <c r="J426" t="s">
        <v>528</v>
      </c>
      <c r="K426" t="s">
        <v>528</v>
      </c>
      <c r="L426" t="s">
        <v>527</v>
      </c>
      <c r="M426" t="s">
        <v>528</v>
      </c>
      <c r="N426" t="s">
        <v>528</v>
      </c>
      <c r="O426" t="s">
        <v>527</v>
      </c>
    </row>
    <row r="427" spans="1:15" x14ac:dyDescent="0.2">
      <c r="A427" t="s">
        <v>446</v>
      </c>
      <c r="B427">
        <v>78</v>
      </c>
      <c r="C427" t="s">
        <v>10</v>
      </c>
      <c r="D427" t="s">
        <v>27</v>
      </c>
      <c r="E427">
        <v>412.4</v>
      </c>
      <c r="F427">
        <v>4</v>
      </c>
      <c r="G427" t="s">
        <v>36</v>
      </c>
      <c r="H427" s="1">
        <v>45474</v>
      </c>
      <c r="I427" s="14">
        <v>8</v>
      </c>
      <c r="J427" t="s">
        <v>527</v>
      </c>
      <c r="K427" t="s">
        <v>527</v>
      </c>
      <c r="L427" t="s">
        <v>528</v>
      </c>
      <c r="M427" t="s">
        <v>528</v>
      </c>
      <c r="N427" t="s">
        <v>528</v>
      </c>
      <c r="O427" t="s">
        <v>527</v>
      </c>
    </row>
    <row r="428" spans="1:15" x14ac:dyDescent="0.2">
      <c r="A428" t="s">
        <v>447</v>
      </c>
      <c r="B428">
        <v>31</v>
      </c>
      <c r="C428" t="s">
        <v>10</v>
      </c>
      <c r="D428" t="s">
        <v>17</v>
      </c>
      <c r="E428">
        <v>343.42</v>
      </c>
      <c r="F428">
        <v>4</v>
      </c>
      <c r="G428" t="s">
        <v>15</v>
      </c>
      <c r="H428" s="1">
        <v>42148</v>
      </c>
      <c r="I428" s="14">
        <v>8</v>
      </c>
      <c r="J428" t="s">
        <v>527</v>
      </c>
      <c r="K428" t="s">
        <v>527</v>
      </c>
      <c r="L428" t="s">
        <v>528</v>
      </c>
      <c r="M428" t="s">
        <v>528</v>
      </c>
      <c r="N428" t="s">
        <v>528</v>
      </c>
      <c r="O428" t="s">
        <v>527</v>
      </c>
    </row>
    <row r="429" spans="1:15" x14ac:dyDescent="0.2">
      <c r="A429" t="s">
        <v>448</v>
      </c>
      <c r="B429">
        <v>76</v>
      </c>
      <c r="C429" t="s">
        <v>10</v>
      </c>
      <c r="D429" t="s">
        <v>27</v>
      </c>
      <c r="E429">
        <v>150.07</v>
      </c>
      <c r="F429">
        <v>1</v>
      </c>
      <c r="G429" t="s">
        <v>12</v>
      </c>
      <c r="H429" s="1">
        <v>44255</v>
      </c>
      <c r="I429" s="14">
        <v>6</v>
      </c>
      <c r="J429" t="s">
        <v>528</v>
      </c>
      <c r="K429" t="s">
        <v>527</v>
      </c>
      <c r="L429" t="s">
        <v>528</v>
      </c>
      <c r="M429" t="s">
        <v>528</v>
      </c>
      <c r="N429" t="s">
        <v>528</v>
      </c>
      <c r="O429" t="s">
        <v>527</v>
      </c>
    </row>
    <row r="430" spans="1:15" x14ac:dyDescent="0.2">
      <c r="A430" t="s">
        <v>449</v>
      </c>
      <c r="B430">
        <v>24</v>
      </c>
      <c r="C430" t="s">
        <v>10</v>
      </c>
      <c r="D430" t="s">
        <v>27</v>
      </c>
      <c r="E430">
        <v>428.4</v>
      </c>
      <c r="F430">
        <v>4</v>
      </c>
      <c r="G430" t="s">
        <v>15</v>
      </c>
      <c r="H430" s="1">
        <v>44568</v>
      </c>
      <c r="I430" s="14">
        <v>4</v>
      </c>
      <c r="J430" t="s">
        <v>527</v>
      </c>
      <c r="K430" t="s">
        <v>527</v>
      </c>
      <c r="L430" t="s">
        <v>528</v>
      </c>
      <c r="M430" t="s">
        <v>528</v>
      </c>
      <c r="N430" t="s">
        <v>528</v>
      </c>
      <c r="O430" t="s">
        <v>527</v>
      </c>
    </row>
    <row r="431" spans="1:15" x14ac:dyDescent="0.2">
      <c r="A431" t="s">
        <v>450</v>
      </c>
      <c r="B431">
        <v>46</v>
      </c>
      <c r="C431" t="s">
        <v>10</v>
      </c>
      <c r="D431" t="s">
        <v>17</v>
      </c>
      <c r="E431">
        <v>288.64999999999998</v>
      </c>
      <c r="F431">
        <v>1</v>
      </c>
      <c r="G431" t="s">
        <v>15</v>
      </c>
      <c r="H431" s="1">
        <v>43012</v>
      </c>
      <c r="I431" s="14" t="s">
        <v>544</v>
      </c>
      <c r="J431" t="s">
        <v>527</v>
      </c>
      <c r="K431" t="s">
        <v>527</v>
      </c>
      <c r="L431" t="s">
        <v>528</v>
      </c>
      <c r="M431" t="s">
        <v>528</v>
      </c>
      <c r="N431" t="s">
        <v>528</v>
      </c>
      <c r="O431" t="s">
        <v>527</v>
      </c>
    </row>
    <row r="432" spans="1:15" x14ac:dyDescent="0.2">
      <c r="A432" t="s">
        <v>451</v>
      </c>
      <c r="B432">
        <v>65</v>
      </c>
      <c r="C432" t="s">
        <v>26</v>
      </c>
      <c r="D432" t="s">
        <v>11</v>
      </c>
      <c r="E432">
        <v>138.78</v>
      </c>
      <c r="F432">
        <v>0</v>
      </c>
      <c r="G432" t="s">
        <v>36</v>
      </c>
      <c r="H432" s="1">
        <v>42153</v>
      </c>
      <c r="I432" s="14">
        <v>3</v>
      </c>
      <c r="J432" t="s">
        <v>528</v>
      </c>
      <c r="K432" t="s">
        <v>527</v>
      </c>
      <c r="L432" t="s">
        <v>528</v>
      </c>
      <c r="M432" t="s">
        <v>528</v>
      </c>
      <c r="N432" t="s">
        <v>528</v>
      </c>
      <c r="O432" t="s">
        <v>528</v>
      </c>
    </row>
    <row r="433" spans="1:15" x14ac:dyDescent="0.2">
      <c r="A433" t="s">
        <v>452</v>
      </c>
      <c r="B433">
        <v>47</v>
      </c>
      <c r="C433" t="s">
        <v>10</v>
      </c>
      <c r="D433" t="s">
        <v>17</v>
      </c>
      <c r="E433">
        <v>309.42</v>
      </c>
      <c r="F433">
        <v>3</v>
      </c>
      <c r="G433" t="s">
        <v>12</v>
      </c>
      <c r="H433" s="1">
        <v>44724</v>
      </c>
      <c r="I433" s="14">
        <v>1</v>
      </c>
      <c r="J433" t="s">
        <v>527</v>
      </c>
      <c r="K433" t="s">
        <v>527</v>
      </c>
      <c r="L433" t="s">
        <v>528</v>
      </c>
      <c r="M433" t="s">
        <v>528</v>
      </c>
      <c r="N433" t="s">
        <v>528</v>
      </c>
      <c r="O433" t="s">
        <v>527</v>
      </c>
    </row>
    <row r="434" spans="1:15" x14ac:dyDescent="0.2">
      <c r="A434" t="s">
        <v>453</v>
      </c>
      <c r="B434">
        <v>62</v>
      </c>
      <c r="C434" t="s">
        <v>26</v>
      </c>
      <c r="D434" t="s">
        <v>27</v>
      </c>
      <c r="E434">
        <v>219.73</v>
      </c>
      <c r="F434">
        <v>1</v>
      </c>
      <c r="G434" t="s">
        <v>36</v>
      </c>
      <c r="H434" s="1">
        <v>45260</v>
      </c>
      <c r="I434" s="14">
        <v>1</v>
      </c>
      <c r="J434" t="s">
        <v>527</v>
      </c>
      <c r="K434" t="s">
        <v>527</v>
      </c>
      <c r="L434" t="s">
        <v>528</v>
      </c>
      <c r="M434" t="s">
        <v>528</v>
      </c>
      <c r="N434" t="s">
        <v>528</v>
      </c>
      <c r="O434" t="s">
        <v>527</v>
      </c>
    </row>
    <row r="435" spans="1:15" x14ac:dyDescent="0.2">
      <c r="A435" t="s">
        <v>454</v>
      </c>
      <c r="B435">
        <v>31</v>
      </c>
      <c r="C435" t="s">
        <v>23</v>
      </c>
      <c r="D435" t="s">
        <v>11</v>
      </c>
      <c r="E435">
        <v>359.12</v>
      </c>
      <c r="F435">
        <v>2</v>
      </c>
      <c r="G435" t="s">
        <v>15</v>
      </c>
      <c r="H435" s="1">
        <v>42229</v>
      </c>
      <c r="I435" s="14">
        <v>2</v>
      </c>
      <c r="J435" t="s">
        <v>527</v>
      </c>
      <c r="K435" t="s">
        <v>527</v>
      </c>
      <c r="L435" t="s">
        <v>528</v>
      </c>
      <c r="M435" t="s">
        <v>528</v>
      </c>
      <c r="N435" t="s">
        <v>528</v>
      </c>
      <c r="O435" t="s">
        <v>527</v>
      </c>
    </row>
    <row r="436" spans="1:15" x14ac:dyDescent="0.2">
      <c r="A436" t="s">
        <v>455</v>
      </c>
      <c r="B436">
        <v>34</v>
      </c>
      <c r="C436" t="s">
        <v>26</v>
      </c>
      <c r="D436" t="s">
        <v>17</v>
      </c>
      <c r="E436">
        <v>360.91</v>
      </c>
      <c r="F436">
        <v>0</v>
      </c>
      <c r="G436" t="s">
        <v>20</v>
      </c>
      <c r="H436" s="1">
        <v>42338</v>
      </c>
      <c r="I436" s="14">
        <v>10</v>
      </c>
      <c r="J436" t="s">
        <v>527</v>
      </c>
      <c r="K436" t="s">
        <v>527</v>
      </c>
      <c r="L436" t="s">
        <v>528</v>
      </c>
      <c r="M436" t="s">
        <v>528</v>
      </c>
      <c r="N436" t="s">
        <v>528</v>
      </c>
      <c r="O436" t="s">
        <v>527</v>
      </c>
    </row>
    <row r="437" spans="1:15" x14ac:dyDescent="0.2">
      <c r="A437" t="s">
        <v>456</v>
      </c>
      <c r="B437">
        <v>51</v>
      </c>
      <c r="C437" t="s">
        <v>26</v>
      </c>
      <c r="D437" t="s">
        <v>27</v>
      </c>
      <c r="E437">
        <v>305.2</v>
      </c>
      <c r="F437">
        <v>2</v>
      </c>
      <c r="G437" t="s">
        <v>15</v>
      </c>
      <c r="H437" s="1">
        <v>42689</v>
      </c>
      <c r="I437" s="14">
        <v>6</v>
      </c>
      <c r="J437" t="s">
        <v>527</v>
      </c>
      <c r="K437" t="s">
        <v>527</v>
      </c>
      <c r="L437" t="s">
        <v>528</v>
      </c>
      <c r="M437" t="s">
        <v>528</v>
      </c>
      <c r="N437" t="s">
        <v>528</v>
      </c>
      <c r="O437" t="s">
        <v>528</v>
      </c>
    </row>
    <row r="438" spans="1:15" x14ac:dyDescent="0.2">
      <c r="A438" t="s">
        <v>457</v>
      </c>
      <c r="B438">
        <v>74</v>
      </c>
      <c r="C438" t="s">
        <v>10</v>
      </c>
      <c r="D438" t="s">
        <v>11</v>
      </c>
      <c r="E438">
        <v>193.55</v>
      </c>
      <c r="F438">
        <v>4</v>
      </c>
      <c r="G438" t="s">
        <v>36</v>
      </c>
      <c r="H438" s="1">
        <v>42219</v>
      </c>
      <c r="I438" s="14">
        <v>5</v>
      </c>
      <c r="J438" t="s">
        <v>528</v>
      </c>
      <c r="K438" t="s">
        <v>527</v>
      </c>
      <c r="L438" t="s">
        <v>528</v>
      </c>
      <c r="M438" t="s">
        <v>528</v>
      </c>
      <c r="N438" t="s">
        <v>528</v>
      </c>
      <c r="O438" t="s">
        <v>527</v>
      </c>
    </row>
    <row r="439" spans="1:15" x14ac:dyDescent="0.2">
      <c r="A439" t="s">
        <v>458</v>
      </c>
      <c r="B439">
        <v>33</v>
      </c>
      <c r="C439" t="s">
        <v>26</v>
      </c>
      <c r="D439" t="s">
        <v>11</v>
      </c>
      <c r="E439">
        <v>374.91</v>
      </c>
      <c r="F439">
        <v>4</v>
      </c>
      <c r="G439" t="s">
        <v>36</v>
      </c>
      <c r="H439" s="1">
        <v>43046</v>
      </c>
      <c r="I439" s="14">
        <v>10</v>
      </c>
      <c r="J439" t="s">
        <v>527</v>
      </c>
      <c r="K439" t="s">
        <v>527</v>
      </c>
      <c r="L439" t="s">
        <v>528</v>
      </c>
      <c r="M439" t="s">
        <v>528</v>
      </c>
      <c r="N439" t="s">
        <v>528</v>
      </c>
      <c r="O439" t="s">
        <v>527</v>
      </c>
    </row>
    <row r="440" spans="1:15" hidden="1" x14ac:dyDescent="0.2">
      <c r="A440" t="s">
        <v>459</v>
      </c>
      <c r="B440">
        <v>52</v>
      </c>
      <c r="C440" t="s">
        <v>14</v>
      </c>
      <c r="D440" t="s">
        <v>27</v>
      </c>
      <c r="F440">
        <v>3</v>
      </c>
      <c r="G440" t="s">
        <v>15</v>
      </c>
      <c r="H440" s="1">
        <v>43746</v>
      </c>
      <c r="I440"/>
      <c r="J440" t="s">
        <v>528</v>
      </c>
      <c r="K440" t="s">
        <v>527</v>
      </c>
      <c r="L440" t="s">
        <v>528</v>
      </c>
      <c r="M440" t="s">
        <v>528</v>
      </c>
      <c r="N440" t="s">
        <v>528</v>
      </c>
      <c r="O440" t="s">
        <v>527</v>
      </c>
    </row>
    <row r="441" spans="1:15" x14ac:dyDescent="0.2">
      <c r="A441" t="s">
        <v>460</v>
      </c>
      <c r="B441">
        <v>46</v>
      </c>
      <c r="C441" t="s">
        <v>10</v>
      </c>
      <c r="D441" t="s">
        <v>27</v>
      </c>
      <c r="E441">
        <v>384.33</v>
      </c>
      <c r="F441">
        <v>3</v>
      </c>
      <c r="G441" t="s">
        <v>20</v>
      </c>
      <c r="H441" s="1">
        <v>43916</v>
      </c>
      <c r="I441" s="14">
        <v>8</v>
      </c>
      <c r="J441" t="s">
        <v>527</v>
      </c>
      <c r="K441" t="s">
        <v>527</v>
      </c>
      <c r="L441" t="s">
        <v>528</v>
      </c>
      <c r="M441" t="s">
        <v>528</v>
      </c>
      <c r="N441" t="s">
        <v>528</v>
      </c>
      <c r="O441" t="s">
        <v>527</v>
      </c>
    </row>
    <row r="442" spans="1:15" hidden="1" x14ac:dyDescent="0.2">
      <c r="A442" t="s">
        <v>461</v>
      </c>
      <c r="B442">
        <v>27</v>
      </c>
      <c r="C442" t="s">
        <v>10</v>
      </c>
      <c r="D442" t="s">
        <v>17</v>
      </c>
      <c r="F442">
        <v>1</v>
      </c>
      <c r="G442" t="s">
        <v>15</v>
      </c>
      <c r="H442" s="1">
        <v>45125</v>
      </c>
      <c r="I442">
        <v>6</v>
      </c>
      <c r="J442" t="s">
        <v>528</v>
      </c>
      <c r="K442" t="s">
        <v>527</v>
      </c>
      <c r="L442" t="s">
        <v>528</v>
      </c>
      <c r="M442" t="s">
        <v>528</v>
      </c>
      <c r="N442" t="s">
        <v>528</v>
      </c>
      <c r="O442" t="s">
        <v>527</v>
      </c>
    </row>
    <row r="443" spans="1:15" hidden="1" x14ac:dyDescent="0.2">
      <c r="A443" t="s">
        <v>462</v>
      </c>
      <c r="B443">
        <v>22</v>
      </c>
      <c r="C443" t="s">
        <v>10</v>
      </c>
      <c r="D443" t="s">
        <v>11</v>
      </c>
      <c r="F443">
        <v>1</v>
      </c>
      <c r="G443" t="s">
        <v>20</v>
      </c>
      <c r="H443" s="1">
        <v>45450</v>
      </c>
      <c r="I443">
        <v>7</v>
      </c>
      <c r="J443" t="s">
        <v>528</v>
      </c>
      <c r="K443" t="s">
        <v>527</v>
      </c>
      <c r="L443" t="s">
        <v>528</v>
      </c>
      <c r="M443" t="s">
        <v>528</v>
      </c>
      <c r="N443" t="s">
        <v>528</v>
      </c>
      <c r="O443" t="s">
        <v>528</v>
      </c>
    </row>
    <row r="444" spans="1:15" x14ac:dyDescent="0.2">
      <c r="A444" t="s">
        <v>463</v>
      </c>
      <c r="B444">
        <v>70</v>
      </c>
      <c r="C444" t="s">
        <v>10</v>
      </c>
      <c r="D444" t="s">
        <v>11</v>
      </c>
      <c r="E444">
        <v>151.91999999999999</v>
      </c>
      <c r="F444">
        <v>0</v>
      </c>
      <c r="G444" t="s">
        <v>20</v>
      </c>
      <c r="H444" s="1">
        <v>44278</v>
      </c>
      <c r="I444" s="14">
        <v>8</v>
      </c>
      <c r="J444" t="s">
        <v>528</v>
      </c>
      <c r="K444" t="s">
        <v>527</v>
      </c>
      <c r="L444" t="s">
        <v>528</v>
      </c>
      <c r="M444" t="s">
        <v>528</v>
      </c>
      <c r="N444" t="s">
        <v>528</v>
      </c>
      <c r="O444" t="s">
        <v>527</v>
      </c>
    </row>
    <row r="445" spans="1:15" x14ac:dyDescent="0.2">
      <c r="A445" t="s">
        <v>464</v>
      </c>
      <c r="B445">
        <v>69</v>
      </c>
      <c r="C445" t="s">
        <v>26</v>
      </c>
      <c r="D445" t="s">
        <v>27</v>
      </c>
      <c r="E445">
        <v>209.48</v>
      </c>
      <c r="F445">
        <v>1</v>
      </c>
      <c r="G445" t="s">
        <v>36</v>
      </c>
      <c r="H445" s="1">
        <v>42743</v>
      </c>
      <c r="I445" s="14">
        <v>3</v>
      </c>
      <c r="J445" t="s">
        <v>527</v>
      </c>
      <c r="K445" t="s">
        <v>527</v>
      </c>
      <c r="L445" t="s">
        <v>528</v>
      </c>
      <c r="M445" t="s">
        <v>528</v>
      </c>
      <c r="N445" t="s">
        <v>528</v>
      </c>
      <c r="O445" t="s">
        <v>527</v>
      </c>
    </row>
    <row r="446" spans="1:15" x14ac:dyDescent="0.2">
      <c r="A446" t="s">
        <v>465</v>
      </c>
      <c r="B446">
        <v>68</v>
      </c>
      <c r="C446" t="s">
        <v>10</v>
      </c>
      <c r="D446" t="s">
        <v>17</v>
      </c>
      <c r="E446">
        <v>453.24</v>
      </c>
      <c r="F446">
        <v>4</v>
      </c>
      <c r="G446" t="s">
        <v>20</v>
      </c>
      <c r="H446" s="1">
        <v>43143</v>
      </c>
      <c r="I446" s="14">
        <v>7</v>
      </c>
      <c r="J446" t="s">
        <v>527</v>
      </c>
      <c r="K446" t="s">
        <v>527</v>
      </c>
      <c r="L446" t="s">
        <v>528</v>
      </c>
      <c r="M446" t="s">
        <v>528</v>
      </c>
      <c r="N446" t="s">
        <v>528</v>
      </c>
      <c r="O446" t="s">
        <v>527</v>
      </c>
    </row>
    <row r="447" spans="1:15" x14ac:dyDescent="0.2">
      <c r="A447" t="s">
        <v>466</v>
      </c>
      <c r="B447">
        <v>78</v>
      </c>
      <c r="C447" t="s">
        <v>10</v>
      </c>
      <c r="D447" t="s">
        <v>11</v>
      </c>
      <c r="E447">
        <v>316.12</v>
      </c>
      <c r="F447">
        <v>2</v>
      </c>
      <c r="G447" t="s">
        <v>15</v>
      </c>
      <c r="H447" s="1">
        <v>45178</v>
      </c>
      <c r="I447" s="14">
        <v>8</v>
      </c>
      <c r="J447" t="s">
        <v>527</v>
      </c>
      <c r="K447" t="s">
        <v>527</v>
      </c>
      <c r="L447" t="s">
        <v>528</v>
      </c>
      <c r="M447" t="s">
        <v>528</v>
      </c>
      <c r="N447" t="s">
        <v>528</v>
      </c>
      <c r="O447" t="s">
        <v>527</v>
      </c>
    </row>
    <row r="448" spans="1:15" x14ac:dyDescent="0.2">
      <c r="A448" t="s">
        <v>467</v>
      </c>
      <c r="B448">
        <v>73</v>
      </c>
      <c r="C448" t="s">
        <v>10</v>
      </c>
      <c r="D448" t="s">
        <v>17</v>
      </c>
      <c r="E448">
        <v>369.31</v>
      </c>
      <c r="F448">
        <v>1</v>
      </c>
      <c r="G448" t="s">
        <v>12</v>
      </c>
      <c r="H448" s="1">
        <v>44063</v>
      </c>
      <c r="I448" s="14">
        <v>2</v>
      </c>
      <c r="J448" t="s">
        <v>527</v>
      </c>
      <c r="K448" t="s">
        <v>527</v>
      </c>
      <c r="L448" t="s">
        <v>528</v>
      </c>
      <c r="M448" t="s">
        <v>528</v>
      </c>
      <c r="N448" t="s">
        <v>528</v>
      </c>
      <c r="O448" t="s">
        <v>527</v>
      </c>
    </row>
    <row r="449" spans="1:15" x14ac:dyDescent="0.2">
      <c r="A449" t="s">
        <v>468</v>
      </c>
      <c r="B449">
        <v>71</v>
      </c>
      <c r="C449" t="s">
        <v>544</v>
      </c>
      <c r="D449" t="s">
        <v>27</v>
      </c>
      <c r="E449">
        <v>341.27</v>
      </c>
      <c r="F449">
        <v>2</v>
      </c>
      <c r="G449" t="s">
        <v>12</v>
      </c>
      <c r="H449" s="1">
        <v>43129</v>
      </c>
      <c r="I449" s="14">
        <v>5</v>
      </c>
      <c r="J449" t="s">
        <v>527</v>
      </c>
      <c r="K449" t="s">
        <v>527</v>
      </c>
      <c r="L449" t="s">
        <v>528</v>
      </c>
      <c r="M449" t="s">
        <v>528</v>
      </c>
      <c r="N449" t="s">
        <v>528</v>
      </c>
      <c r="O449" t="s">
        <v>528</v>
      </c>
    </row>
    <row r="450" spans="1:15" x14ac:dyDescent="0.2">
      <c r="A450" t="s">
        <v>469</v>
      </c>
      <c r="B450">
        <v>51</v>
      </c>
      <c r="C450" t="s">
        <v>26</v>
      </c>
      <c r="D450" t="s">
        <v>11</v>
      </c>
      <c r="E450">
        <v>169.73</v>
      </c>
      <c r="F450">
        <v>1</v>
      </c>
      <c r="G450" t="s">
        <v>20</v>
      </c>
      <c r="H450" s="1">
        <v>42820</v>
      </c>
      <c r="I450" s="14">
        <v>4</v>
      </c>
      <c r="J450" t="s">
        <v>528</v>
      </c>
      <c r="K450" t="s">
        <v>527</v>
      </c>
      <c r="L450" t="s">
        <v>528</v>
      </c>
      <c r="M450" t="s">
        <v>528</v>
      </c>
      <c r="N450" t="s">
        <v>528</v>
      </c>
      <c r="O450" t="s">
        <v>528</v>
      </c>
    </row>
    <row r="451" spans="1:15" x14ac:dyDescent="0.2">
      <c r="A451" t="s">
        <v>470</v>
      </c>
      <c r="B451">
        <v>52</v>
      </c>
      <c r="C451" t="s">
        <v>26</v>
      </c>
      <c r="D451" t="s">
        <v>11</v>
      </c>
      <c r="E451">
        <v>237.77</v>
      </c>
      <c r="F451">
        <v>0</v>
      </c>
      <c r="G451" t="s">
        <v>20</v>
      </c>
      <c r="H451" s="1">
        <v>42991</v>
      </c>
      <c r="I451" s="14">
        <v>1</v>
      </c>
      <c r="J451" t="s">
        <v>527</v>
      </c>
      <c r="K451" t="s">
        <v>527</v>
      </c>
      <c r="L451" t="s">
        <v>528</v>
      </c>
      <c r="M451" t="s">
        <v>528</v>
      </c>
      <c r="N451" t="s">
        <v>528</v>
      </c>
      <c r="O451" t="s">
        <v>527</v>
      </c>
    </row>
    <row r="452" spans="1:15" x14ac:dyDescent="0.2">
      <c r="A452" t="s">
        <v>471</v>
      </c>
      <c r="B452">
        <v>42</v>
      </c>
      <c r="C452" t="s">
        <v>26</v>
      </c>
      <c r="D452" t="s">
        <v>27</v>
      </c>
      <c r="E452">
        <v>137.16999999999999</v>
      </c>
      <c r="F452">
        <v>2</v>
      </c>
      <c r="G452" t="s">
        <v>12</v>
      </c>
      <c r="H452" s="1">
        <v>44931</v>
      </c>
      <c r="I452" s="14">
        <v>3</v>
      </c>
      <c r="J452" t="s">
        <v>527</v>
      </c>
      <c r="K452" t="s">
        <v>527</v>
      </c>
      <c r="L452" t="s">
        <v>528</v>
      </c>
      <c r="M452" t="s">
        <v>528</v>
      </c>
      <c r="N452" t="s">
        <v>528</v>
      </c>
      <c r="O452" t="s">
        <v>528</v>
      </c>
    </row>
    <row r="453" spans="1:15" x14ac:dyDescent="0.2">
      <c r="A453" t="s">
        <v>472</v>
      </c>
      <c r="B453">
        <v>50</v>
      </c>
      <c r="C453" t="s">
        <v>23</v>
      </c>
      <c r="D453" t="s">
        <v>17</v>
      </c>
      <c r="E453">
        <v>286.52999999999997</v>
      </c>
      <c r="F453">
        <v>4</v>
      </c>
      <c r="G453" t="s">
        <v>15</v>
      </c>
      <c r="H453" s="1">
        <v>44249</v>
      </c>
      <c r="I453" s="14">
        <v>1</v>
      </c>
      <c r="J453" t="s">
        <v>527</v>
      </c>
      <c r="K453" t="s">
        <v>527</v>
      </c>
      <c r="L453" t="s">
        <v>528</v>
      </c>
      <c r="M453" t="s">
        <v>528</v>
      </c>
      <c r="N453" t="s">
        <v>528</v>
      </c>
      <c r="O453" t="s">
        <v>527</v>
      </c>
    </row>
    <row r="454" spans="1:15" x14ac:dyDescent="0.2">
      <c r="A454" t="s">
        <v>473</v>
      </c>
      <c r="B454">
        <v>26</v>
      </c>
      <c r="C454" t="s">
        <v>26</v>
      </c>
      <c r="D454" t="s">
        <v>11</v>
      </c>
      <c r="E454">
        <v>409.12</v>
      </c>
      <c r="F454">
        <v>4</v>
      </c>
      <c r="G454" t="s">
        <v>15</v>
      </c>
      <c r="H454" s="1">
        <v>43628</v>
      </c>
      <c r="I454" s="14">
        <v>3</v>
      </c>
      <c r="J454" t="s">
        <v>527</v>
      </c>
      <c r="K454" t="s">
        <v>527</v>
      </c>
      <c r="L454" t="s">
        <v>528</v>
      </c>
      <c r="M454" t="s">
        <v>528</v>
      </c>
      <c r="N454" t="s">
        <v>528</v>
      </c>
      <c r="O454" t="s">
        <v>527</v>
      </c>
    </row>
    <row r="455" spans="1:15" x14ac:dyDescent="0.2">
      <c r="A455" t="s">
        <v>474</v>
      </c>
      <c r="B455">
        <v>28</v>
      </c>
      <c r="C455" t="s">
        <v>26</v>
      </c>
      <c r="D455" t="s">
        <v>17</v>
      </c>
      <c r="E455">
        <v>245.64</v>
      </c>
      <c r="F455">
        <v>1</v>
      </c>
      <c r="G455" t="s">
        <v>15</v>
      </c>
      <c r="H455" s="1">
        <v>45217</v>
      </c>
      <c r="I455" s="14">
        <v>1</v>
      </c>
      <c r="J455" t="s">
        <v>527</v>
      </c>
      <c r="K455" t="s">
        <v>527</v>
      </c>
      <c r="L455" t="s">
        <v>528</v>
      </c>
      <c r="M455" t="s">
        <v>528</v>
      </c>
      <c r="N455" t="s">
        <v>528</v>
      </c>
      <c r="O455" t="s">
        <v>527</v>
      </c>
    </row>
    <row r="456" spans="1:15" hidden="1" x14ac:dyDescent="0.2">
      <c r="A456" t="s">
        <v>475</v>
      </c>
      <c r="B456">
        <v>35</v>
      </c>
      <c r="C456" t="s">
        <v>19</v>
      </c>
      <c r="D456" t="s">
        <v>27</v>
      </c>
      <c r="F456">
        <v>3</v>
      </c>
      <c r="G456" t="s">
        <v>15</v>
      </c>
      <c r="H456" s="1">
        <v>44977</v>
      </c>
      <c r="I456">
        <v>4</v>
      </c>
      <c r="J456" t="s">
        <v>527</v>
      </c>
      <c r="K456" t="s">
        <v>527</v>
      </c>
      <c r="L456" t="s">
        <v>528</v>
      </c>
      <c r="M456" t="s">
        <v>528</v>
      </c>
      <c r="N456" t="s">
        <v>528</v>
      </c>
      <c r="O456" t="s">
        <v>527</v>
      </c>
    </row>
    <row r="457" spans="1:15" x14ac:dyDescent="0.2">
      <c r="A457" t="s">
        <v>476</v>
      </c>
      <c r="B457">
        <v>27</v>
      </c>
      <c r="C457" t="s">
        <v>23</v>
      </c>
      <c r="D457" t="s">
        <v>27</v>
      </c>
      <c r="E457">
        <v>316.94</v>
      </c>
      <c r="F457">
        <v>4</v>
      </c>
      <c r="G457" t="s">
        <v>12</v>
      </c>
      <c r="H457" s="1">
        <v>45504</v>
      </c>
      <c r="I457" s="14">
        <v>8</v>
      </c>
      <c r="J457" t="s">
        <v>527</v>
      </c>
      <c r="K457" t="s">
        <v>527</v>
      </c>
      <c r="L457" t="s">
        <v>528</v>
      </c>
      <c r="M457" t="s">
        <v>528</v>
      </c>
      <c r="N457" t="s">
        <v>528</v>
      </c>
      <c r="O457" t="s">
        <v>527</v>
      </c>
    </row>
    <row r="458" spans="1:15" x14ac:dyDescent="0.2">
      <c r="A458" t="s">
        <v>477</v>
      </c>
      <c r="B458">
        <v>72</v>
      </c>
      <c r="C458" t="s">
        <v>10</v>
      </c>
      <c r="D458" t="s">
        <v>11</v>
      </c>
      <c r="E458">
        <v>254.01</v>
      </c>
      <c r="F458">
        <v>2</v>
      </c>
      <c r="G458" t="s">
        <v>12</v>
      </c>
      <c r="H458" s="1">
        <v>43042</v>
      </c>
      <c r="I458" s="14">
        <v>3</v>
      </c>
      <c r="J458" t="s">
        <v>527</v>
      </c>
      <c r="K458" t="s">
        <v>527</v>
      </c>
      <c r="L458" t="s">
        <v>528</v>
      </c>
      <c r="M458" t="s">
        <v>528</v>
      </c>
      <c r="N458" t="s">
        <v>528</v>
      </c>
      <c r="O458" t="s">
        <v>527</v>
      </c>
    </row>
    <row r="459" spans="1:15" x14ac:dyDescent="0.2">
      <c r="A459" t="s">
        <v>478</v>
      </c>
      <c r="B459">
        <v>41</v>
      </c>
      <c r="C459" t="s">
        <v>26</v>
      </c>
      <c r="D459" t="s">
        <v>11</v>
      </c>
      <c r="E459">
        <v>63.59</v>
      </c>
      <c r="F459">
        <v>1</v>
      </c>
      <c r="G459" t="s">
        <v>12</v>
      </c>
      <c r="H459" s="1">
        <v>43656</v>
      </c>
      <c r="I459" s="14">
        <v>10</v>
      </c>
      <c r="J459" t="s">
        <v>528</v>
      </c>
      <c r="K459" t="s">
        <v>527</v>
      </c>
      <c r="L459" t="s">
        <v>528</v>
      </c>
      <c r="M459" t="s">
        <v>528</v>
      </c>
      <c r="N459" t="s">
        <v>528</v>
      </c>
      <c r="O459" t="s">
        <v>528</v>
      </c>
    </row>
    <row r="460" spans="1:15" x14ac:dyDescent="0.2">
      <c r="A460" t="s">
        <v>479</v>
      </c>
      <c r="B460">
        <v>64</v>
      </c>
      <c r="C460" t="s">
        <v>26</v>
      </c>
      <c r="D460" t="s">
        <v>11</v>
      </c>
      <c r="E460">
        <v>403.39</v>
      </c>
      <c r="F460">
        <v>3</v>
      </c>
      <c r="G460" t="s">
        <v>20</v>
      </c>
      <c r="H460" s="1">
        <v>42682</v>
      </c>
      <c r="I460" s="14">
        <v>2</v>
      </c>
      <c r="J460" t="s">
        <v>527</v>
      </c>
      <c r="K460" t="s">
        <v>527</v>
      </c>
      <c r="L460" t="s">
        <v>528</v>
      </c>
      <c r="M460" t="s">
        <v>528</v>
      </c>
      <c r="N460" t="s">
        <v>528</v>
      </c>
      <c r="O460" t="s">
        <v>527</v>
      </c>
    </row>
    <row r="461" spans="1:15" x14ac:dyDescent="0.2">
      <c r="A461" t="s">
        <v>480</v>
      </c>
      <c r="B461">
        <v>60</v>
      </c>
      <c r="C461" t="s">
        <v>10</v>
      </c>
      <c r="D461" t="s">
        <v>17</v>
      </c>
      <c r="E461">
        <v>336.97</v>
      </c>
      <c r="F461">
        <v>0</v>
      </c>
      <c r="G461" t="s">
        <v>12</v>
      </c>
      <c r="H461" s="1">
        <v>44566</v>
      </c>
      <c r="I461" s="14">
        <v>9</v>
      </c>
      <c r="J461" t="s">
        <v>527</v>
      </c>
      <c r="K461" t="s">
        <v>527</v>
      </c>
      <c r="L461" t="s">
        <v>528</v>
      </c>
      <c r="M461" t="s">
        <v>528</v>
      </c>
      <c r="N461" t="s">
        <v>528</v>
      </c>
      <c r="O461" t="s">
        <v>527</v>
      </c>
    </row>
    <row r="462" spans="1:15" x14ac:dyDescent="0.2">
      <c r="A462" t="s">
        <v>481</v>
      </c>
      <c r="B462">
        <v>43</v>
      </c>
      <c r="C462" t="s">
        <v>26</v>
      </c>
      <c r="D462" t="s">
        <v>17</v>
      </c>
      <c r="E462">
        <v>55.87</v>
      </c>
      <c r="F462">
        <v>2</v>
      </c>
      <c r="G462" t="s">
        <v>12</v>
      </c>
      <c r="H462" s="1">
        <v>45644</v>
      </c>
      <c r="I462" s="14">
        <v>2</v>
      </c>
      <c r="J462" t="s">
        <v>527</v>
      </c>
      <c r="K462" t="s">
        <v>527</v>
      </c>
      <c r="L462" t="s">
        <v>528</v>
      </c>
      <c r="M462" t="s">
        <v>528</v>
      </c>
      <c r="N462" t="s">
        <v>528</v>
      </c>
      <c r="O462" t="s">
        <v>527</v>
      </c>
    </row>
    <row r="463" spans="1:15" x14ac:dyDescent="0.2">
      <c r="A463" t="s">
        <v>482</v>
      </c>
      <c r="B463">
        <v>69</v>
      </c>
      <c r="C463" t="s">
        <v>26</v>
      </c>
      <c r="D463" t="s">
        <v>11</v>
      </c>
      <c r="E463">
        <v>257.19</v>
      </c>
      <c r="F463">
        <v>0</v>
      </c>
      <c r="G463" t="s">
        <v>20</v>
      </c>
      <c r="H463" s="1">
        <v>45023</v>
      </c>
      <c r="I463" s="14">
        <v>7</v>
      </c>
      <c r="J463" t="s">
        <v>527</v>
      </c>
      <c r="K463" t="s">
        <v>527</v>
      </c>
      <c r="L463" t="s">
        <v>528</v>
      </c>
      <c r="M463" t="s">
        <v>528</v>
      </c>
      <c r="N463" t="s">
        <v>528</v>
      </c>
      <c r="O463" t="s">
        <v>527</v>
      </c>
    </row>
    <row r="464" spans="1:15" x14ac:dyDescent="0.2">
      <c r="A464" t="s">
        <v>483</v>
      </c>
      <c r="B464">
        <v>66</v>
      </c>
      <c r="C464" t="s">
        <v>10</v>
      </c>
      <c r="D464" t="s">
        <v>27</v>
      </c>
      <c r="E464">
        <v>97.98</v>
      </c>
      <c r="F464">
        <v>2</v>
      </c>
      <c r="G464" t="s">
        <v>36</v>
      </c>
      <c r="H464" s="1">
        <v>43048</v>
      </c>
      <c r="I464" s="14">
        <v>4</v>
      </c>
      <c r="J464" t="s">
        <v>528</v>
      </c>
      <c r="K464" t="s">
        <v>527</v>
      </c>
      <c r="L464" t="s">
        <v>528</v>
      </c>
      <c r="M464" t="s">
        <v>528</v>
      </c>
      <c r="N464" t="s">
        <v>528</v>
      </c>
      <c r="O464" t="s">
        <v>527</v>
      </c>
    </row>
    <row r="465" spans="1:15" x14ac:dyDescent="0.2">
      <c r="A465" t="s">
        <v>484</v>
      </c>
      <c r="B465">
        <v>38</v>
      </c>
      <c r="C465" t="s">
        <v>23</v>
      </c>
      <c r="D465" t="s">
        <v>17</v>
      </c>
      <c r="E465">
        <v>93.52</v>
      </c>
      <c r="F465">
        <v>2</v>
      </c>
      <c r="G465" t="s">
        <v>36</v>
      </c>
      <c r="H465" s="1">
        <v>44732</v>
      </c>
      <c r="I465" s="14">
        <v>2</v>
      </c>
      <c r="J465" t="s">
        <v>527</v>
      </c>
      <c r="K465" t="s">
        <v>527</v>
      </c>
      <c r="L465" t="s">
        <v>528</v>
      </c>
      <c r="M465" t="s">
        <v>528</v>
      </c>
      <c r="N465" t="s">
        <v>528</v>
      </c>
      <c r="O465" t="s">
        <v>527</v>
      </c>
    </row>
    <row r="466" spans="1:15" x14ac:dyDescent="0.2">
      <c r="A466" t="s">
        <v>485</v>
      </c>
      <c r="B466">
        <v>56</v>
      </c>
      <c r="C466" t="s">
        <v>26</v>
      </c>
      <c r="D466" t="s">
        <v>11</v>
      </c>
      <c r="E466">
        <v>125.61</v>
      </c>
      <c r="F466">
        <v>0</v>
      </c>
      <c r="G466" t="s">
        <v>12</v>
      </c>
      <c r="H466" s="1">
        <v>45254</v>
      </c>
      <c r="I466" s="14">
        <v>6</v>
      </c>
      <c r="J466" t="s">
        <v>528</v>
      </c>
      <c r="K466" t="s">
        <v>527</v>
      </c>
      <c r="L466" t="s">
        <v>528</v>
      </c>
      <c r="M466" t="s">
        <v>528</v>
      </c>
      <c r="N466" t="s">
        <v>528</v>
      </c>
      <c r="O466" t="s">
        <v>528</v>
      </c>
    </row>
    <row r="467" spans="1:15" x14ac:dyDescent="0.2">
      <c r="A467" t="s">
        <v>486</v>
      </c>
      <c r="B467">
        <v>78</v>
      </c>
      <c r="C467" t="s">
        <v>10</v>
      </c>
      <c r="D467" t="s">
        <v>17</v>
      </c>
      <c r="E467">
        <v>454.99</v>
      </c>
      <c r="F467">
        <v>0</v>
      </c>
      <c r="G467" t="s">
        <v>15</v>
      </c>
      <c r="H467" s="1">
        <v>42805</v>
      </c>
      <c r="I467" s="14">
        <v>8</v>
      </c>
      <c r="J467" t="s">
        <v>527</v>
      </c>
      <c r="K467" t="s">
        <v>527</v>
      </c>
      <c r="L467" t="s">
        <v>528</v>
      </c>
      <c r="M467" t="s">
        <v>528</v>
      </c>
      <c r="N467" t="s">
        <v>528</v>
      </c>
      <c r="O467" t="s">
        <v>527</v>
      </c>
    </row>
    <row r="468" spans="1:15" x14ac:dyDescent="0.2">
      <c r="A468" t="s">
        <v>487</v>
      </c>
      <c r="B468">
        <v>22</v>
      </c>
      <c r="C468" t="s">
        <v>26</v>
      </c>
      <c r="D468" t="s">
        <v>11</v>
      </c>
      <c r="E468">
        <v>298.5</v>
      </c>
      <c r="F468">
        <v>3</v>
      </c>
      <c r="G468" t="s">
        <v>15</v>
      </c>
      <c r="H468" s="1">
        <v>42491</v>
      </c>
      <c r="I468" s="14">
        <v>9</v>
      </c>
      <c r="J468" t="s">
        <v>527</v>
      </c>
      <c r="K468" t="s">
        <v>527</v>
      </c>
      <c r="L468" t="s">
        <v>528</v>
      </c>
      <c r="M468" t="s">
        <v>528</v>
      </c>
      <c r="N468" t="s">
        <v>528</v>
      </c>
      <c r="O468" t="s">
        <v>527</v>
      </c>
    </row>
    <row r="469" spans="1:15" x14ac:dyDescent="0.2">
      <c r="A469" t="s">
        <v>488</v>
      </c>
      <c r="B469">
        <v>52</v>
      </c>
      <c r="C469" t="s">
        <v>26</v>
      </c>
      <c r="D469" t="s">
        <v>17</v>
      </c>
      <c r="E469">
        <v>305.2</v>
      </c>
      <c r="F469">
        <v>1</v>
      </c>
      <c r="G469" t="s">
        <v>20</v>
      </c>
      <c r="H469" s="1">
        <v>43793</v>
      </c>
      <c r="I469" s="14">
        <v>1</v>
      </c>
      <c r="J469" t="s">
        <v>527</v>
      </c>
      <c r="K469" t="s">
        <v>527</v>
      </c>
      <c r="L469" t="s">
        <v>528</v>
      </c>
      <c r="M469" t="s">
        <v>528</v>
      </c>
      <c r="N469" t="s">
        <v>528</v>
      </c>
      <c r="O469" t="s">
        <v>527</v>
      </c>
    </row>
    <row r="470" spans="1:15" x14ac:dyDescent="0.2">
      <c r="A470" t="s">
        <v>489</v>
      </c>
      <c r="B470">
        <v>54</v>
      </c>
      <c r="C470" t="s">
        <v>26</v>
      </c>
      <c r="D470" t="s">
        <v>27</v>
      </c>
      <c r="E470">
        <v>206.99</v>
      </c>
      <c r="F470">
        <v>4</v>
      </c>
      <c r="G470" t="s">
        <v>36</v>
      </c>
      <c r="H470" s="1">
        <v>43895</v>
      </c>
      <c r="I470" s="14">
        <v>1</v>
      </c>
      <c r="J470" t="s">
        <v>527</v>
      </c>
      <c r="K470" t="s">
        <v>527</v>
      </c>
      <c r="L470" t="s">
        <v>528</v>
      </c>
      <c r="M470" t="s">
        <v>528</v>
      </c>
      <c r="N470" t="s">
        <v>528</v>
      </c>
      <c r="O470" t="s">
        <v>527</v>
      </c>
    </row>
    <row r="471" spans="1:15" x14ac:dyDescent="0.2">
      <c r="A471" t="s">
        <v>490</v>
      </c>
      <c r="B471">
        <v>33</v>
      </c>
      <c r="C471" t="s">
        <v>23</v>
      </c>
      <c r="D471" t="s">
        <v>17</v>
      </c>
      <c r="E471">
        <v>348.84</v>
      </c>
      <c r="F471">
        <v>0</v>
      </c>
      <c r="G471" t="s">
        <v>36</v>
      </c>
      <c r="H471" s="1">
        <v>43001</v>
      </c>
      <c r="I471" s="14" t="s">
        <v>544</v>
      </c>
      <c r="J471" t="s">
        <v>527</v>
      </c>
      <c r="K471" t="s">
        <v>527</v>
      </c>
      <c r="L471" t="s">
        <v>528</v>
      </c>
      <c r="M471" t="s">
        <v>528</v>
      </c>
      <c r="N471" t="s">
        <v>528</v>
      </c>
      <c r="O471" t="s">
        <v>527</v>
      </c>
    </row>
    <row r="472" spans="1:15" x14ac:dyDescent="0.2">
      <c r="A472" t="s">
        <v>491</v>
      </c>
      <c r="B472">
        <v>34</v>
      </c>
      <c r="C472" t="s">
        <v>23</v>
      </c>
      <c r="D472" t="s">
        <v>17</v>
      </c>
      <c r="E472">
        <v>268.29000000000002</v>
      </c>
      <c r="F472">
        <v>4</v>
      </c>
      <c r="G472" t="s">
        <v>15</v>
      </c>
      <c r="H472" s="1">
        <v>44479</v>
      </c>
      <c r="I472" s="14">
        <v>10</v>
      </c>
      <c r="J472" t="s">
        <v>527</v>
      </c>
      <c r="K472" t="s">
        <v>528</v>
      </c>
      <c r="L472" t="s">
        <v>527</v>
      </c>
      <c r="M472" t="s">
        <v>528</v>
      </c>
      <c r="N472" t="s">
        <v>528</v>
      </c>
      <c r="O472" t="s">
        <v>527</v>
      </c>
    </row>
    <row r="473" spans="1:15" x14ac:dyDescent="0.2">
      <c r="A473" t="s">
        <v>492</v>
      </c>
      <c r="B473">
        <v>67</v>
      </c>
      <c r="C473" t="s">
        <v>10</v>
      </c>
      <c r="D473" t="s">
        <v>17</v>
      </c>
      <c r="E473">
        <v>213</v>
      </c>
      <c r="F473">
        <v>1</v>
      </c>
      <c r="G473" t="s">
        <v>15</v>
      </c>
      <c r="H473" s="1">
        <v>44307</v>
      </c>
      <c r="I473" s="14">
        <v>10</v>
      </c>
      <c r="J473" t="s">
        <v>527</v>
      </c>
      <c r="K473" t="s">
        <v>527</v>
      </c>
      <c r="L473" t="s">
        <v>528</v>
      </c>
      <c r="M473" t="s">
        <v>528</v>
      </c>
      <c r="N473" t="s">
        <v>528</v>
      </c>
      <c r="O473" t="s">
        <v>527</v>
      </c>
    </row>
    <row r="474" spans="1:15" x14ac:dyDescent="0.2">
      <c r="A474" t="s">
        <v>493</v>
      </c>
      <c r="B474">
        <v>30</v>
      </c>
      <c r="C474" t="s">
        <v>544</v>
      </c>
      <c r="D474" t="s">
        <v>17</v>
      </c>
      <c r="E474">
        <v>352.63</v>
      </c>
      <c r="F474">
        <v>0</v>
      </c>
      <c r="G474" t="s">
        <v>20</v>
      </c>
      <c r="H474" s="1">
        <v>44012</v>
      </c>
      <c r="I474" s="14">
        <v>6</v>
      </c>
      <c r="J474" t="s">
        <v>527</v>
      </c>
      <c r="K474" t="s">
        <v>527</v>
      </c>
      <c r="L474" t="s">
        <v>528</v>
      </c>
      <c r="M474" t="s">
        <v>528</v>
      </c>
      <c r="N474" t="s">
        <v>528</v>
      </c>
      <c r="O474" t="s">
        <v>527</v>
      </c>
    </row>
    <row r="475" spans="1:15" x14ac:dyDescent="0.2">
      <c r="A475" t="s">
        <v>494</v>
      </c>
      <c r="B475">
        <v>29</v>
      </c>
      <c r="C475" t="s">
        <v>10</v>
      </c>
      <c r="D475" t="s">
        <v>17</v>
      </c>
      <c r="E475">
        <v>455.91</v>
      </c>
      <c r="F475">
        <v>4</v>
      </c>
      <c r="G475" t="s">
        <v>36</v>
      </c>
      <c r="H475" s="1">
        <v>44185</v>
      </c>
      <c r="I475" s="14">
        <v>5</v>
      </c>
      <c r="J475" t="s">
        <v>527</v>
      </c>
      <c r="K475" t="s">
        <v>527</v>
      </c>
      <c r="L475" t="s">
        <v>528</v>
      </c>
      <c r="M475" t="s">
        <v>528</v>
      </c>
      <c r="N475" t="s">
        <v>528</v>
      </c>
      <c r="O475" t="s">
        <v>527</v>
      </c>
    </row>
    <row r="476" spans="1:15" x14ac:dyDescent="0.2">
      <c r="A476" t="s">
        <v>495</v>
      </c>
      <c r="B476">
        <v>51</v>
      </c>
      <c r="C476" t="s">
        <v>544</v>
      </c>
      <c r="D476" t="s">
        <v>17</v>
      </c>
      <c r="E476">
        <v>347.75</v>
      </c>
      <c r="F476">
        <v>1</v>
      </c>
      <c r="G476" t="s">
        <v>20</v>
      </c>
      <c r="H476" s="1">
        <v>42522</v>
      </c>
      <c r="I476" s="14">
        <v>3</v>
      </c>
      <c r="J476" t="s">
        <v>527</v>
      </c>
      <c r="K476" t="s">
        <v>527</v>
      </c>
      <c r="L476" t="s">
        <v>528</v>
      </c>
      <c r="M476" t="s">
        <v>528</v>
      </c>
      <c r="N476" t="s">
        <v>528</v>
      </c>
      <c r="O476" t="s">
        <v>527</v>
      </c>
    </row>
    <row r="477" spans="1:15" x14ac:dyDescent="0.2">
      <c r="A477" t="s">
        <v>496</v>
      </c>
      <c r="B477">
        <v>78</v>
      </c>
      <c r="C477" t="s">
        <v>26</v>
      </c>
      <c r="D477" t="s">
        <v>11</v>
      </c>
      <c r="E477">
        <v>360.53</v>
      </c>
      <c r="F477">
        <v>0</v>
      </c>
      <c r="G477" t="s">
        <v>20</v>
      </c>
      <c r="H477" s="1">
        <v>44438</v>
      </c>
      <c r="I477" s="14">
        <v>7</v>
      </c>
      <c r="J477" t="s">
        <v>527</v>
      </c>
      <c r="K477" t="s">
        <v>527</v>
      </c>
      <c r="L477" t="s">
        <v>528</v>
      </c>
      <c r="M477" t="s">
        <v>528</v>
      </c>
      <c r="N477" t="s">
        <v>528</v>
      </c>
      <c r="O477" t="s">
        <v>527</v>
      </c>
    </row>
    <row r="478" spans="1:15" hidden="1" x14ac:dyDescent="0.2">
      <c r="A478" t="s">
        <v>497</v>
      </c>
      <c r="B478">
        <v>44</v>
      </c>
      <c r="C478" t="s">
        <v>10</v>
      </c>
      <c r="D478" t="s">
        <v>11</v>
      </c>
      <c r="F478">
        <v>3</v>
      </c>
      <c r="G478" t="s">
        <v>20</v>
      </c>
      <c r="H478" s="1">
        <v>42433</v>
      </c>
      <c r="I478">
        <v>6</v>
      </c>
      <c r="J478" t="s">
        <v>527</v>
      </c>
      <c r="K478" t="s">
        <v>527</v>
      </c>
      <c r="L478" t="s">
        <v>528</v>
      </c>
      <c r="M478" t="s">
        <v>528</v>
      </c>
      <c r="N478" t="s">
        <v>528</v>
      </c>
      <c r="O478" t="s">
        <v>527</v>
      </c>
    </row>
    <row r="479" spans="1:15" x14ac:dyDescent="0.2">
      <c r="A479" t="s">
        <v>498</v>
      </c>
      <c r="B479">
        <v>33</v>
      </c>
      <c r="C479" t="s">
        <v>26</v>
      </c>
      <c r="D479" t="s">
        <v>17</v>
      </c>
      <c r="E479">
        <v>137.16999999999999</v>
      </c>
      <c r="F479">
        <v>3</v>
      </c>
      <c r="G479" t="s">
        <v>15</v>
      </c>
      <c r="H479" s="1">
        <v>42675</v>
      </c>
      <c r="I479" s="14">
        <v>4</v>
      </c>
      <c r="J479" t="s">
        <v>527</v>
      </c>
      <c r="K479" t="s">
        <v>527</v>
      </c>
      <c r="L479" t="s">
        <v>528</v>
      </c>
      <c r="M479" t="s">
        <v>528</v>
      </c>
      <c r="N479" t="s">
        <v>528</v>
      </c>
      <c r="O479" t="s">
        <v>527</v>
      </c>
    </row>
    <row r="480" spans="1:15" x14ac:dyDescent="0.2">
      <c r="A480" t="s">
        <v>499</v>
      </c>
      <c r="B480">
        <v>36</v>
      </c>
      <c r="C480" t="s">
        <v>10</v>
      </c>
      <c r="D480" t="s">
        <v>17</v>
      </c>
      <c r="E480">
        <v>158.51</v>
      </c>
      <c r="F480">
        <v>4</v>
      </c>
      <c r="G480" t="s">
        <v>20</v>
      </c>
      <c r="H480" s="1">
        <v>42370</v>
      </c>
      <c r="I480" s="14">
        <v>6</v>
      </c>
      <c r="J480" t="s">
        <v>527</v>
      </c>
      <c r="K480" t="s">
        <v>527</v>
      </c>
      <c r="L480" t="s">
        <v>528</v>
      </c>
      <c r="M480" t="s">
        <v>528</v>
      </c>
      <c r="N480" t="s">
        <v>528</v>
      </c>
      <c r="O480" t="s">
        <v>527</v>
      </c>
    </row>
    <row r="481" spans="1:15" x14ac:dyDescent="0.2">
      <c r="A481" t="s">
        <v>500</v>
      </c>
      <c r="B481">
        <v>24</v>
      </c>
      <c r="C481" t="s">
        <v>26</v>
      </c>
      <c r="D481" t="s">
        <v>11</v>
      </c>
      <c r="E481">
        <v>150.33000000000001</v>
      </c>
      <c r="F481">
        <v>1</v>
      </c>
      <c r="G481" t="s">
        <v>20</v>
      </c>
      <c r="H481" s="1">
        <v>45212</v>
      </c>
      <c r="I481" s="14">
        <v>2</v>
      </c>
      <c r="J481" t="s">
        <v>528</v>
      </c>
      <c r="K481" t="s">
        <v>527</v>
      </c>
      <c r="L481" t="s">
        <v>528</v>
      </c>
      <c r="M481" t="s">
        <v>528</v>
      </c>
      <c r="N481" t="s">
        <v>528</v>
      </c>
      <c r="O481" t="s">
        <v>527</v>
      </c>
    </row>
    <row r="482" spans="1:15" x14ac:dyDescent="0.2">
      <c r="A482" t="s">
        <v>501</v>
      </c>
      <c r="B482">
        <v>33</v>
      </c>
      <c r="C482" t="s">
        <v>26</v>
      </c>
      <c r="D482" t="s">
        <v>17</v>
      </c>
      <c r="E482">
        <v>261.25</v>
      </c>
      <c r="F482">
        <v>2</v>
      </c>
      <c r="G482" t="s">
        <v>20</v>
      </c>
      <c r="H482" s="1">
        <v>42664</v>
      </c>
      <c r="I482" s="14">
        <v>10</v>
      </c>
      <c r="J482" t="s">
        <v>527</v>
      </c>
      <c r="K482" t="s">
        <v>528</v>
      </c>
      <c r="L482" t="s">
        <v>527</v>
      </c>
      <c r="M482" t="s">
        <v>527</v>
      </c>
      <c r="N482" t="s">
        <v>528</v>
      </c>
      <c r="O482" t="s">
        <v>528</v>
      </c>
    </row>
    <row r="483" spans="1:15" x14ac:dyDescent="0.2">
      <c r="A483" t="s">
        <v>502</v>
      </c>
      <c r="B483">
        <v>28</v>
      </c>
      <c r="C483" t="s">
        <v>10</v>
      </c>
      <c r="D483" t="s">
        <v>17</v>
      </c>
      <c r="E483">
        <v>209.5</v>
      </c>
      <c r="F483">
        <v>3</v>
      </c>
      <c r="G483" t="s">
        <v>12</v>
      </c>
      <c r="H483" s="1">
        <v>44508</v>
      </c>
      <c r="I483" s="14">
        <v>2</v>
      </c>
      <c r="J483" t="s">
        <v>527</v>
      </c>
      <c r="K483" t="s">
        <v>527</v>
      </c>
      <c r="L483" t="s">
        <v>528</v>
      </c>
      <c r="M483" t="s">
        <v>528</v>
      </c>
      <c r="N483" t="s">
        <v>528</v>
      </c>
      <c r="O483" t="s">
        <v>527</v>
      </c>
    </row>
    <row r="484" spans="1:15" x14ac:dyDescent="0.2">
      <c r="A484" t="s">
        <v>503</v>
      </c>
      <c r="B484">
        <v>36</v>
      </c>
      <c r="C484" t="s">
        <v>10</v>
      </c>
      <c r="D484" t="s">
        <v>17</v>
      </c>
      <c r="E484">
        <v>197.84</v>
      </c>
      <c r="F484">
        <v>4</v>
      </c>
      <c r="G484" t="s">
        <v>20</v>
      </c>
      <c r="H484" s="1">
        <v>42905</v>
      </c>
      <c r="I484" s="14">
        <v>3</v>
      </c>
      <c r="J484" t="s">
        <v>528</v>
      </c>
      <c r="K484" t="s">
        <v>528</v>
      </c>
      <c r="L484" t="s">
        <v>527</v>
      </c>
      <c r="M484" t="s">
        <v>527</v>
      </c>
      <c r="N484" t="s">
        <v>528</v>
      </c>
      <c r="O484" t="s">
        <v>528</v>
      </c>
    </row>
    <row r="485" spans="1:15" x14ac:dyDescent="0.2">
      <c r="A485" t="s">
        <v>504</v>
      </c>
      <c r="B485">
        <v>65</v>
      </c>
      <c r="C485" t="s">
        <v>26</v>
      </c>
      <c r="D485" t="s">
        <v>27</v>
      </c>
      <c r="E485">
        <v>368.38</v>
      </c>
      <c r="F485">
        <v>1</v>
      </c>
      <c r="G485" t="s">
        <v>20</v>
      </c>
      <c r="H485" s="1">
        <v>42573</v>
      </c>
      <c r="I485" s="14">
        <v>1</v>
      </c>
      <c r="J485" t="s">
        <v>527</v>
      </c>
      <c r="K485" t="s">
        <v>527</v>
      </c>
      <c r="L485" t="s">
        <v>528</v>
      </c>
      <c r="M485" t="s">
        <v>528</v>
      </c>
      <c r="N485" t="s">
        <v>528</v>
      </c>
      <c r="O485" t="s">
        <v>527</v>
      </c>
    </row>
    <row r="486" spans="1:15" x14ac:dyDescent="0.2">
      <c r="A486" t="s">
        <v>505</v>
      </c>
      <c r="B486">
        <v>23</v>
      </c>
      <c r="C486" t="s">
        <v>10</v>
      </c>
      <c r="D486" t="s">
        <v>27</v>
      </c>
      <c r="E486">
        <v>466.28</v>
      </c>
      <c r="F486">
        <v>0</v>
      </c>
      <c r="G486" t="s">
        <v>15</v>
      </c>
      <c r="H486" s="1">
        <v>43393</v>
      </c>
      <c r="I486" s="14">
        <v>6</v>
      </c>
      <c r="J486" t="s">
        <v>527</v>
      </c>
      <c r="K486" t="s">
        <v>527</v>
      </c>
      <c r="L486" t="s">
        <v>528</v>
      </c>
      <c r="M486" t="s">
        <v>528</v>
      </c>
      <c r="N486" t="s">
        <v>528</v>
      </c>
      <c r="O486" t="s">
        <v>527</v>
      </c>
    </row>
    <row r="487" spans="1:15" hidden="1" x14ac:dyDescent="0.2">
      <c r="A487" t="s">
        <v>506</v>
      </c>
      <c r="B487">
        <v>22</v>
      </c>
      <c r="C487" t="s">
        <v>26</v>
      </c>
      <c r="D487" t="s">
        <v>17</v>
      </c>
      <c r="F487">
        <v>4</v>
      </c>
      <c r="G487" t="s">
        <v>12</v>
      </c>
      <c r="H487" s="1">
        <v>44195</v>
      </c>
      <c r="I487">
        <v>1</v>
      </c>
      <c r="J487" t="s">
        <v>528</v>
      </c>
      <c r="K487" t="s">
        <v>528</v>
      </c>
      <c r="L487" t="s">
        <v>527</v>
      </c>
      <c r="M487" t="s">
        <v>528</v>
      </c>
      <c r="N487" t="s">
        <v>528</v>
      </c>
      <c r="O487" t="s">
        <v>528</v>
      </c>
    </row>
    <row r="488" spans="1:15" x14ac:dyDescent="0.2">
      <c r="A488" t="s">
        <v>507</v>
      </c>
      <c r="B488">
        <v>67</v>
      </c>
      <c r="C488" t="s">
        <v>10</v>
      </c>
      <c r="D488" t="s">
        <v>17</v>
      </c>
      <c r="E488">
        <v>301.92</v>
      </c>
      <c r="F488">
        <v>0</v>
      </c>
      <c r="G488" t="s">
        <v>15</v>
      </c>
      <c r="H488" s="1">
        <v>45063</v>
      </c>
      <c r="I488" s="14">
        <v>1</v>
      </c>
      <c r="J488" t="s">
        <v>527</v>
      </c>
      <c r="K488" t="s">
        <v>527</v>
      </c>
      <c r="L488" t="s">
        <v>528</v>
      </c>
      <c r="M488" t="s">
        <v>528</v>
      </c>
      <c r="N488" t="s">
        <v>528</v>
      </c>
      <c r="O488" t="s">
        <v>527</v>
      </c>
    </row>
    <row r="489" spans="1:15" hidden="1" x14ac:dyDescent="0.2">
      <c r="A489" t="s">
        <v>508</v>
      </c>
      <c r="B489">
        <v>78</v>
      </c>
      <c r="C489" t="s">
        <v>14</v>
      </c>
      <c r="D489" t="s">
        <v>27</v>
      </c>
      <c r="F489">
        <v>0</v>
      </c>
      <c r="G489" t="s">
        <v>20</v>
      </c>
      <c r="H489" s="1">
        <v>45690</v>
      </c>
      <c r="I489">
        <v>10</v>
      </c>
      <c r="J489" t="s">
        <v>527</v>
      </c>
      <c r="K489" t="s">
        <v>527</v>
      </c>
      <c r="L489" t="s">
        <v>528</v>
      </c>
      <c r="M489" t="s">
        <v>528</v>
      </c>
      <c r="N489" t="s">
        <v>528</v>
      </c>
      <c r="O489" t="s">
        <v>528</v>
      </c>
    </row>
    <row r="490" spans="1:15" x14ac:dyDescent="0.2">
      <c r="A490" t="s">
        <v>509</v>
      </c>
      <c r="B490">
        <v>27</v>
      </c>
      <c r="C490" t="s">
        <v>26</v>
      </c>
      <c r="D490" t="s">
        <v>17</v>
      </c>
      <c r="E490">
        <v>177.17</v>
      </c>
      <c r="F490">
        <v>4</v>
      </c>
      <c r="G490" t="s">
        <v>15</v>
      </c>
      <c r="H490" s="1">
        <v>44947</v>
      </c>
      <c r="I490" s="14">
        <v>2</v>
      </c>
      <c r="J490" t="s">
        <v>528</v>
      </c>
      <c r="K490" t="s">
        <v>527</v>
      </c>
      <c r="L490" t="s">
        <v>528</v>
      </c>
      <c r="M490" t="s">
        <v>528</v>
      </c>
      <c r="N490" t="s">
        <v>528</v>
      </c>
      <c r="O490" t="s">
        <v>527</v>
      </c>
    </row>
    <row r="491" spans="1:15" x14ac:dyDescent="0.2">
      <c r="A491" t="s">
        <v>510</v>
      </c>
      <c r="B491">
        <v>52</v>
      </c>
      <c r="C491" t="s">
        <v>26</v>
      </c>
      <c r="D491" t="s">
        <v>11</v>
      </c>
      <c r="E491">
        <v>291.38</v>
      </c>
      <c r="F491">
        <v>4</v>
      </c>
      <c r="G491" t="s">
        <v>20</v>
      </c>
      <c r="H491" s="1">
        <v>42201</v>
      </c>
      <c r="I491" s="14">
        <v>3</v>
      </c>
      <c r="J491" t="s">
        <v>527</v>
      </c>
      <c r="K491" t="s">
        <v>528</v>
      </c>
      <c r="L491" t="s">
        <v>527</v>
      </c>
      <c r="M491" t="s">
        <v>528</v>
      </c>
      <c r="N491" t="s">
        <v>528</v>
      </c>
      <c r="O491" t="s">
        <v>527</v>
      </c>
    </row>
    <row r="492" spans="1:15" x14ac:dyDescent="0.2">
      <c r="A492" t="s">
        <v>511</v>
      </c>
      <c r="B492">
        <v>69</v>
      </c>
      <c r="C492" t="s">
        <v>26</v>
      </c>
      <c r="D492" t="s">
        <v>11</v>
      </c>
      <c r="E492">
        <v>83.69</v>
      </c>
      <c r="F492">
        <v>2</v>
      </c>
      <c r="G492" t="s">
        <v>15</v>
      </c>
      <c r="H492" s="1">
        <v>45557</v>
      </c>
      <c r="I492" s="14">
        <v>1</v>
      </c>
      <c r="J492" t="s">
        <v>527</v>
      </c>
      <c r="K492" t="s">
        <v>527</v>
      </c>
      <c r="L492" t="s">
        <v>528</v>
      </c>
      <c r="M492" t="s">
        <v>528</v>
      </c>
      <c r="N492" t="s">
        <v>528</v>
      </c>
      <c r="O492" t="s">
        <v>527</v>
      </c>
    </row>
    <row r="493" spans="1:15" x14ac:dyDescent="0.2">
      <c r="A493" t="s">
        <v>512</v>
      </c>
      <c r="B493">
        <v>45</v>
      </c>
      <c r="C493" t="s">
        <v>26</v>
      </c>
      <c r="D493" t="s">
        <v>17</v>
      </c>
      <c r="E493">
        <v>437.65</v>
      </c>
      <c r="F493">
        <v>3</v>
      </c>
      <c r="G493" t="s">
        <v>20</v>
      </c>
      <c r="H493" s="1">
        <v>42478</v>
      </c>
      <c r="I493" s="14">
        <v>5</v>
      </c>
      <c r="J493" t="s">
        <v>527</v>
      </c>
      <c r="K493" t="s">
        <v>527</v>
      </c>
      <c r="L493" t="s">
        <v>528</v>
      </c>
      <c r="M493" t="s">
        <v>528</v>
      </c>
      <c r="N493" t="s">
        <v>528</v>
      </c>
      <c r="O493" t="s">
        <v>527</v>
      </c>
    </row>
    <row r="494" spans="1:15" x14ac:dyDescent="0.2">
      <c r="A494" t="s">
        <v>513</v>
      </c>
      <c r="B494">
        <v>26</v>
      </c>
      <c r="C494" t="s">
        <v>26</v>
      </c>
      <c r="D494" t="s">
        <v>11</v>
      </c>
      <c r="E494">
        <v>365.61</v>
      </c>
      <c r="F494">
        <v>1</v>
      </c>
      <c r="G494" t="s">
        <v>15</v>
      </c>
      <c r="H494" s="1">
        <v>45305</v>
      </c>
      <c r="I494" s="14">
        <v>3</v>
      </c>
      <c r="J494" t="s">
        <v>527</v>
      </c>
      <c r="K494" t="s">
        <v>527</v>
      </c>
      <c r="L494" t="s">
        <v>528</v>
      </c>
      <c r="M494" t="s">
        <v>528</v>
      </c>
      <c r="N494" t="s">
        <v>528</v>
      </c>
      <c r="O494" t="s">
        <v>527</v>
      </c>
    </row>
    <row r="495" spans="1:15" x14ac:dyDescent="0.2">
      <c r="A495" t="s">
        <v>514</v>
      </c>
      <c r="B495">
        <v>26</v>
      </c>
      <c r="C495" t="s">
        <v>23</v>
      </c>
      <c r="D495" t="s">
        <v>17</v>
      </c>
      <c r="E495">
        <v>318.42</v>
      </c>
      <c r="F495">
        <v>0</v>
      </c>
      <c r="G495" t="s">
        <v>20</v>
      </c>
      <c r="H495" s="1">
        <v>42571</v>
      </c>
      <c r="I495" s="14">
        <v>3</v>
      </c>
      <c r="J495" t="s">
        <v>527</v>
      </c>
      <c r="K495" t="s">
        <v>528</v>
      </c>
      <c r="L495" t="s">
        <v>527</v>
      </c>
      <c r="M495" t="s">
        <v>528</v>
      </c>
      <c r="N495" t="s">
        <v>528</v>
      </c>
      <c r="O495" t="s">
        <v>527</v>
      </c>
    </row>
    <row r="496" spans="1:15" x14ac:dyDescent="0.2">
      <c r="A496" t="s">
        <v>515</v>
      </c>
      <c r="B496">
        <v>60</v>
      </c>
      <c r="C496" t="s">
        <v>23</v>
      </c>
      <c r="D496" t="s">
        <v>17</v>
      </c>
      <c r="E496">
        <v>248.51</v>
      </c>
      <c r="F496">
        <v>0</v>
      </c>
      <c r="G496" t="s">
        <v>15</v>
      </c>
      <c r="H496" s="1">
        <v>43347</v>
      </c>
      <c r="I496" s="14">
        <v>5</v>
      </c>
      <c r="J496" t="s">
        <v>527</v>
      </c>
      <c r="K496" t="s">
        <v>527</v>
      </c>
      <c r="L496" t="s">
        <v>528</v>
      </c>
      <c r="M496" t="s">
        <v>528</v>
      </c>
      <c r="N496" t="s">
        <v>528</v>
      </c>
      <c r="O496" t="s">
        <v>527</v>
      </c>
    </row>
    <row r="497" spans="1:15" hidden="1" x14ac:dyDescent="0.2">
      <c r="A497" t="s">
        <v>516</v>
      </c>
      <c r="B497">
        <v>78</v>
      </c>
      <c r="C497" t="s">
        <v>14</v>
      </c>
      <c r="D497" t="s">
        <v>17</v>
      </c>
      <c r="F497">
        <v>2</v>
      </c>
      <c r="G497" t="s">
        <v>36</v>
      </c>
      <c r="H497" s="1">
        <v>43494</v>
      </c>
      <c r="I497">
        <v>8</v>
      </c>
      <c r="J497" t="s">
        <v>527</v>
      </c>
      <c r="K497" t="s">
        <v>527</v>
      </c>
      <c r="L497" t="s">
        <v>528</v>
      </c>
      <c r="M497" t="s">
        <v>528</v>
      </c>
      <c r="N497" t="s">
        <v>528</v>
      </c>
      <c r="O497" t="s">
        <v>527</v>
      </c>
    </row>
    <row r="498" spans="1:15" x14ac:dyDescent="0.2">
      <c r="A498" t="s">
        <v>517</v>
      </c>
      <c r="B498">
        <v>63</v>
      </c>
      <c r="C498" t="s">
        <v>23</v>
      </c>
      <c r="D498" t="s">
        <v>17</v>
      </c>
      <c r="E498">
        <v>82.69</v>
      </c>
      <c r="F498">
        <v>3</v>
      </c>
      <c r="G498" t="s">
        <v>36</v>
      </c>
      <c r="H498" s="1">
        <v>43944</v>
      </c>
      <c r="I498" s="14">
        <v>7</v>
      </c>
      <c r="J498" t="s">
        <v>527</v>
      </c>
      <c r="K498" t="s">
        <v>527</v>
      </c>
      <c r="L498" t="s">
        <v>528</v>
      </c>
      <c r="M498" t="s">
        <v>528</v>
      </c>
      <c r="N498" t="s">
        <v>528</v>
      </c>
      <c r="O498" t="s">
        <v>527</v>
      </c>
    </row>
    <row r="499" spans="1:15" x14ac:dyDescent="0.2">
      <c r="A499" t="s">
        <v>518</v>
      </c>
      <c r="B499">
        <v>19</v>
      </c>
      <c r="C499" t="s">
        <v>23</v>
      </c>
      <c r="D499" t="s">
        <v>17</v>
      </c>
      <c r="E499">
        <v>152.97999999999999</v>
      </c>
      <c r="F499">
        <v>1</v>
      </c>
      <c r="G499" t="s">
        <v>12</v>
      </c>
      <c r="H499" s="1">
        <v>43585</v>
      </c>
      <c r="I499" s="14">
        <v>8</v>
      </c>
      <c r="J499" t="s">
        <v>527</v>
      </c>
      <c r="K499" t="s">
        <v>527</v>
      </c>
      <c r="L499" t="s">
        <v>528</v>
      </c>
      <c r="M499" t="s">
        <v>528</v>
      </c>
      <c r="N499" t="s">
        <v>528</v>
      </c>
      <c r="O499" t="s">
        <v>527</v>
      </c>
    </row>
    <row r="500" spans="1:15" x14ac:dyDescent="0.2">
      <c r="A500" t="s">
        <v>519</v>
      </c>
      <c r="B500">
        <v>69</v>
      </c>
      <c r="C500" t="s">
        <v>10</v>
      </c>
      <c r="D500" t="s">
        <v>11</v>
      </c>
      <c r="E500">
        <v>81.41</v>
      </c>
      <c r="F500">
        <v>1</v>
      </c>
      <c r="G500" t="s">
        <v>36</v>
      </c>
      <c r="H500" s="1">
        <v>45154</v>
      </c>
      <c r="I500" s="14">
        <v>2</v>
      </c>
      <c r="J500" t="s">
        <v>528</v>
      </c>
      <c r="K500" t="s">
        <v>527</v>
      </c>
      <c r="L500" t="s">
        <v>528</v>
      </c>
      <c r="M500" t="s">
        <v>528</v>
      </c>
      <c r="N500" t="s">
        <v>528</v>
      </c>
      <c r="O500" t="s">
        <v>528</v>
      </c>
    </row>
    <row r="501" spans="1:15" x14ac:dyDescent="0.2">
      <c r="A501" t="s">
        <v>520</v>
      </c>
      <c r="B501">
        <v>26</v>
      </c>
      <c r="C501" t="s">
        <v>26</v>
      </c>
      <c r="D501" t="s">
        <v>11</v>
      </c>
      <c r="E501">
        <v>290.27999999999997</v>
      </c>
      <c r="F501">
        <v>1</v>
      </c>
      <c r="G501" t="s">
        <v>36</v>
      </c>
      <c r="H501" s="1">
        <v>42823</v>
      </c>
      <c r="I501" s="14" t="s">
        <v>544</v>
      </c>
      <c r="J501" t="s">
        <v>527</v>
      </c>
      <c r="K501" t="s">
        <v>527</v>
      </c>
      <c r="L501" t="s">
        <v>528</v>
      </c>
      <c r="M501" t="s">
        <v>528</v>
      </c>
      <c r="N501" t="s">
        <v>528</v>
      </c>
      <c r="O501" t="s">
        <v>527</v>
      </c>
    </row>
    <row r="502" spans="1:15" x14ac:dyDescent="0.2">
      <c r="I502"/>
    </row>
    <row r="503" spans="1:15" x14ac:dyDescent="0.2">
      <c r="I503"/>
    </row>
    <row r="504" spans="1:15" x14ac:dyDescent="0.2">
      <c r="I504"/>
    </row>
    <row r="505" spans="1:15" x14ac:dyDescent="0.2">
      <c r="I505"/>
    </row>
    <row r="506" spans="1:15" x14ac:dyDescent="0.2">
      <c r="I506"/>
    </row>
    <row r="507" spans="1:15" x14ac:dyDescent="0.2">
      <c r="I507"/>
    </row>
    <row r="508" spans="1:15" x14ac:dyDescent="0.2">
      <c r="I508"/>
    </row>
    <row r="509" spans="1:15" x14ac:dyDescent="0.2">
      <c r="I509"/>
    </row>
    <row r="510" spans="1:15" x14ac:dyDescent="0.2">
      <c r="I510"/>
    </row>
    <row r="511" spans="1:15" x14ac:dyDescent="0.2">
      <c r="I511"/>
    </row>
  </sheetData>
  <autoFilter ref="A1:O501" xr:uid="{00000000-0001-0000-0000-000000000000}">
    <filterColumn colId="4">
      <customFilters>
        <customFilter operator="notEqual" val=" 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tabSelected="1" workbookViewId="0">
      <selection activeCell="A19" sqref="A19"/>
    </sheetView>
  </sheetViews>
  <sheetFormatPr baseColWidth="10" defaultRowHeight="16" x14ac:dyDescent="0.2"/>
  <cols>
    <col min="1" max="1" width="29.33203125" bestFit="1" customWidth="1"/>
    <col min="2" max="2" width="14" bestFit="1" customWidth="1"/>
    <col min="3" max="3" width="18" bestFit="1" customWidth="1"/>
    <col min="4" max="4" width="11.83203125" bestFit="1" customWidth="1"/>
    <col min="5" max="5" width="16" bestFit="1" customWidth="1"/>
  </cols>
  <sheetData>
    <row r="1" spans="1:5" ht="19" customHeight="1" x14ac:dyDescent="0.2"/>
    <row r="2" spans="1:5" ht="19" customHeight="1" x14ac:dyDescent="0.25">
      <c r="A2" s="12" t="s">
        <v>540</v>
      </c>
      <c r="B2" s="12"/>
    </row>
    <row r="3" spans="1:5" ht="19" customHeight="1" x14ac:dyDescent="0.25">
      <c r="A3" s="9" t="s">
        <v>529</v>
      </c>
      <c r="B3" s="10">
        <f>COUNTIF(Data!K:K,"Yes")/COUNTA(Data!A:A)</f>
        <v>0.91017964071856283</v>
      </c>
      <c r="C3" s="15"/>
    </row>
    <row r="4" spans="1:5" ht="19" customHeight="1" x14ac:dyDescent="0.25">
      <c r="A4" s="9" t="s">
        <v>530</v>
      </c>
      <c r="B4" s="10">
        <f>COUNTIF(Data!L:L,"Yes")/COUNTA(Data!A:A)</f>
        <v>8.7824351297405193E-2</v>
      </c>
      <c r="C4" s="15"/>
    </row>
    <row r="5" spans="1:5" ht="19" customHeight="1" x14ac:dyDescent="0.25">
      <c r="A5" s="9" t="s">
        <v>531</v>
      </c>
      <c r="B5" s="10">
        <f>COUNTIF(Data!M:M,"Yes")/COUNTA(Data!A:A)</f>
        <v>2.7944111776447105E-2</v>
      </c>
      <c r="C5" s="15"/>
    </row>
    <row r="6" spans="1:5" ht="19" customHeight="1" x14ac:dyDescent="0.25">
      <c r="A6" s="9" t="s">
        <v>532</v>
      </c>
      <c r="B6" s="10">
        <f>COUNTIF(Data!N:N,"Yes")/COUNTIF(Data!M:M,"Yes")</f>
        <v>0.42857142857142855</v>
      </c>
      <c r="C6" s="15"/>
    </row>
    <row r="7" spans="1:5" ht="19" customHeight="1" x14ac:dyDescent="0.25">
      <c r="A7" s="9" t="s">
        <v>533</v>
      </c>
      <c r="B7" s="10">
        <f>COUNTIF(Data!J:J,"Yes")/COUNTA(Data!A:A)</f>
        <v>0.77844311377245512</v>
      </c>
      <c r="C7" s="15"/>
    </row>
    <row r="8" spans="1:5" ht="19" customHeight="1" x14ac:dyDescent="0.25">
      <c r="A8" s="9" t="s">
        <v>534</v>
      </c>
      <c r="B8" s="10">
        <f>COUNTIF(Data!O:O,"Yes")/COUNTA(Data!A:A)</f>
        <v>0.80838323353293418</v>
      </c>
      <c r="C8" s="15"/>
    </row>
    <row r="9" spans="1:5" ht="19" customHeight="1" x14ac:dyDescent="0.2"/>
    <row r="10" spans="1:5" ht="19" customHeight="1" x14ac:dyDescent="0.25">
      <c r="A10" s="13" t="s">
        <v>535</v>
      </c>
      <c r="B10" s="13"/>
      <c r="C10" s="13"/>
      <c r="D10" s="13"/>
      <c r="E10" s="13"/>
    </row>
    <row r="11" spans="1:5" ht="19" customHeight="1" x14ac:dyDescent="0.25">
      <c r="A11" s="3" t="s">
        <v>536</v>
      </c>
      <c r="B11" s="3" t="s">
        <v>537</v>
      </c>
      <c r="C11" s="3" t="s">
        <v>545</v>
      </c>
      <c r="D11" s="3" t="s">
        <v>538</v>
      </c>
      <c r="E11" s="3" t="s">
        <v>534</v>
      </c>
    </row>
    <row r="12" spans="1:5" ht="19" customHeight="1" x14ac:dyDescent="0.2">
      <c r="A12" s="11" t="s">
        <v>521</v>
      </c>
      <c r="B12" s="5">
        <f>AVERAGEIFS(Data!E:E,Data!J:J,"Yes")</f>
        <v>308.84039473684203</v>
      </c>
      <c r="C12" s="5" cm="1">
        <f t="array" ref="C12">MEDIAN(IF(Data!J:J="Yes", Data!E:E))</f>
        <v>313.96000000000004</v>
      </c>
      <c r="D12" s="6">
        <f>COUNTIFS(Data!M:M,"Yes",Data!J:J,"Yes")/COUNTIF(Data!J:J,"Yes")</f>
        <v>2.3076923076923078E-2</v>
      </c>
      <c r="E12" s="6">
        <f>COUNTIFS(Data!O:O,"Yes",Data!J:J,"Yes")/COUNTIF(Data!J:J,"Yes")</f>
        <v>0.85897435897435892</v>
      </c>
    </row>
    <row r="13" spans="1:5" ht="19" customHeight="1" x14ac:dyDescent="0.2">
      <c r="A13" s="4" t="s">
        <v>539</v>
      </c>
      <c r="B13" s="7">
        <f>AVERAGEIFS(Data!E:E,Data!J:J,"No")</f>
        <v>130.45642105263161</v>
      </c>
      <c r="C13" s="7" cm="1">
        <f t="array" ref="C13">MEDIAN(IF(Data!J:J="No", Data!E:E))</f>
        <v>117.69999999999999</v>
      </c>
      <c r="D13" s="8">
        <f>COUNTIFS(Data!M:M,"Yes",Data!J:J,"No")/COUNTIF(Data!J:J,"No")</f>
        <v>4.5454545454545456E-2</v>
      </c>
      <c r="E13" s="8">
        <f>COUNTIFS(Data!O:O,"Yes",Data!J:J,"No")/COUNTIF(Data!J:J,"No")</f>
        <v>0.63636363636363635</v>
      </c>
    </row>
    <row r="14" spans="1:5" ht="19" customHeight="1" x14ac:dyDescent="0.2"/>
    <row r="15" spans="1:5" ht="19" customHeight="1" x14ac:dyDescent="0.25">
      <c r="A15" s="2" t="s">
        <v>541</v>
      </c>
    </row>
    <row r="16" spans="1:5" ht="19" customHeight="1" x14ac:dyDescent="0.2">
      <c r="A16" t="s">
        <v>546</v>
      </c>
    </row>
    <row r="17" spans="1:1" ht="19" customHeight="1" x14ac:dyDescent="0.25">
      <c r="A17" s="2" t="s">
        <v>542</v>
      </c>
    </row>
    <row r="18" spans="1:1" ht="19" customHeight="1" x14ac:dyDescent="0.2">
      <c r="A18" t="s">
        <v>543</v>
      </c>
    </row>
  </sheetData>
  <mergeCells count="2">
    <mergeCell ref="A2:B2"/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Billing performance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S Bice</cp:lastModifiedBy>
  <dcterms:created xsi:type="dcterms:W3CDTF">2025-12-06T19:55:42Z</dcterms:created>
  <dcterms:modified xsi:type="dcterms:W3CDTF">2026-02-15T02:06:56Z</dcterms:modified>
</cp:coreProperties>
</file>